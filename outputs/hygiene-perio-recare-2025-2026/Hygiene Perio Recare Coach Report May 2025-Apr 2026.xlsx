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d9c85b2c241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4edfc6b6cb4be0"/>
    <x:sheet xmlns:r="http://schemas.openxmlformats.org/officeDocument/2006/relationships" name="Trend Chart" sheetId="2" r:id="Rc1df273fd35c4fa8"/>
    <x:sheet xmlns:r="http://schemas.openxmlformats.org/officeDocument/2006/relationships" name="Source Data" sheetId="3" r:id="R060e222f989b4e79"/>
    <x:sheet xmlns:r="http://schemas.openxmlformats.org/officeDocument/2006/relationships" name="Notes" sheetId="4" r:id="R53671188a2414d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0.0%"/>
    <x:numFmt numFmtId="202" formatCode="0"/>
    <x:numFmt numFmtId="203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5F6F73"/>
      <x:name val="Carlito"/>
    </x:font>
    <x:font>
      <x:b/>
      <x:sz val="11"/>
      <x:color rgb="2034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F5D65"/>
      </x:patternFill>
    </x:fill>
    <x:fill>
      <x:patternFill patternType="solid">
        <x:fgColor rgb="EEF6F7"/>
      </x:patternFill>
    </x:fill>
    <x:fill>
      <x:patternFill patternType="solid">
        <x:fgColor rgb="F8FBFB"/>
      </x:patternFill>
    </x:fill>
    <x:fill>
      <x:patternFill patternType="solid">
        <x:fgColor rgb="E7F4EA"/>
      </x:patternFill>
    </x:fill>
    <x:fill>
      <x:patternFill patternType="solid">
        <x:fgColor rgb="FFF8E8"/>
      </x:patternFill>
    </x:fill>
    <x:fill>
      <x:patternFill patternType="solid">
        <x:fgColor rgb="DDEEEF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3" fillId="5" borderId="0" xfId="0" applyNumberFormat="1" applyFont="1" applyFill="1" applyBorder="1"/>
    <x:xf numFmtId="200" fontId="3" fillId="5" borderId="0" xfId="0" applyNumberFormat="1" applyFont="1" applyFill="1" applyBorder="1"/>
    <x:xf numFmtId="201" fontId="3" fillId="5" borderId="0" xfId="0" applyNumberFormat="1" applyFont="1" applyFill="1" applyBorder="1"/>
    <x:xf numFmtId="0" fontId="0" fillId="6" borderId="0" xfId="0" applyNumberFormat="1" applyFont="1" applyFill="1" applyBorder="1"/>
    <x:xf numFmtId="202" fontId="0" fillId="6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4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d2a498ae95408c" /><Relationship Type="http://schemas.openxmlformats.org/officeDocument/2006/relationships/theme" Target="/xl/theme/theme1.xml" Id="Rd444b0c62ba74202" /><Relationship Type="http://schemas.openxmlformats.org/officeDocument/2006/relationships/sharedStrings" Target="/xl/sharedStrings.xml" Id="Rcaff5a1627cc4061" /><Relationship Type="http://schemas.openxmlformats.org/officeDocument/2006/relationships/worksheet" Target="/xl/worksheets/sheet1.xml" Id="Rd24edfc6b6cb4be0" /><Relationship Type="http://schemas.openxmlformats.org/officeDocument/2006/relationships/worksheet" Target="/xl/worksheets/sheet2.xml" Id="Rc1df273fd35c4fa8" /><Relationship Type="http://schemas.openxmlformats.org/officeDocument/2006/relationships/worksheet" Target="/xl/worksheets/sheet3.xml" Id="R060e222f989b4e79" /><Relationship Type="http://schemas.openxmlformats.org/officeDocument/2006/relationships/worksheet" Target="/xl/worksheets/sheet4.xml" Id="R53671188a2414d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c0d1ca98fb4371" /><Relationship Type="http://schemas.openxmlformats.org/officeDocument/2006/relationships/chart" Target="/xl/drawings/charts/chart2.xml" Id="Rda45d7dba25f492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Production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Hygiene Production</c:v>
          </c:tx>
          <c:cat>
            <c:strLit>
              <c:ptCount val="12"/>
              <c:pt idx="0">
                <c:v>May 2025</c:v>
              </c:pt>
              <c:pt idx="1">
                <c:v>Jun 2025</c:v>
              </c:pt>
              <c:pt idx="2">
                <c:v>Jul 2025</c:v>
              </c:pt>
              <c:pt idx="3">
                <c:v>Aug 2025</c:v>
              </c:pt>
              <c:pt idx="4">
                <c:v>Sep 2025</c:v>
              </c:pt>
              <c:pt idx="5">
                <c:v>Oct 2025</c:v>
              </c:pt>
              <c:pt idx="6">
                <c:v>Nov 2025</c:v>
              </c:pt>
              <c:pt idx="7">
                <c:v>Dec 2025</c:v>
              </c:pt>
              <c:pt idx="8">
                <c:v>Jan 2026</c:v>
              </c:pt>
              <c:pt idx="9">
                <c:v>Feb 2026</c:v>
              </c:pt>
              <c:pt idx="10">
                <c:v>Mar 2026</c:v>
              </c:pt>
              <c:pt idx="11">
                <c:v>Apr 2026</c:v>
              </c:pt>
            </c:strLit>
          </c:cat>
          <c:val>
            <c:numLit>
              <c:formatCode/>
              <c:ptCount val="12"/>
              <c:pt idx="0">
                <c:v>69508</c:v>
              </c:pt>
              <c:pt idx="1">
                <c:v>75981</c:v>
              </c:pt>
              <c:pt idx="2">
                <c:v>82256</c:v>
              </c:pt>
              <c:pt idx="3">
                <c:v>73651</c:v>
              </c:pt>
              <c:pt idx="4">
                <c:v>65797</c:v>
              </c:pt>
              <c:pt idx="5">
                <c:v>73961</c:v>
              </c:pt>
              <c:pt idx="6">
                <c:v>63612</c:v>
              </c:pt>
              <c:pt idx="7">
                <c:v>70207.91</c:v>
              </c:pt>
              <c:pt idx="8">
                <c:v>65780</c:v>
              </c:pt>
              <c:pt idx="9">
                <c:v>66058.91</c:v>
              </c:pt>
              <c:pt idx="10">
                <c:v>84996</c:v>
              </c:pt>
              <c:pt idx="11">
                <c:v>82357.52</c:v>
              </c:pt>
            </c:numLit>
          </c:val>
          <c:smooth val="0"/>
        </c:ser>
        <c:ser>
          <c:idx val="1"/>
          <c:order val="1"/>
          <c:tx>
            <c:v>Perio Production</c:v>
          </c:tx>
          <c:cat>
            <c:strLit>
              <c:ptCount val="12"/>
              <c:pt idx="0">
                <c:v>May 2025</c:v>
              </c:pt>
              <c:pt idx="1">
                <c:v>Jun 2025</c:v>
              </c:pt>
              <c:pt idx="2">
                <c:v>Jul 2025</c:v>
              </c:pt>
              <c:pt idx="3">
                <c:v>Aug 2025</c:v>
              </c:pt>
              <c:pt idx="4">
                <c:v>Sep 2025</c:v>
              </c:pt>
              <c:pt idx="5">
                <c:v>Oct 2025</c:v>
              </c:pt>
              <c:pt idx="6">
                <c:v>Nov 2025</c:v>
              </c:pt>
              <c:pt idx="7">
                <c:v>Dec 2025</c:v>
              </c:pt>
              <c:pt idx="8">
                <c:v>Jan 2026</c:v>
              </c:pt>
              <c:pt idx="9">
                <c:v>Feb 2026</c:v>
              </c:pt>
              <c:pt idx="10">
                <c:v>Mar 2026</c:v>
              </c:pt>
              <c:pt idx="11">
                <c:v>Apr 2026</c:v>
              </c:pt>
            </c:strLit>
          </c:cat>
          <c:val>
            <c:numLit>
              <c:formatCode/>
              <c:ptCount val="12"/>
              <c:pt idx="0">
                <c:v>4440</c:v>
              </c:pt>
              <c:pt idx="1">
                <c:v>4861</c:v>
              </c:pt>
              <c:pt idx="2">
                <c:v>6331</c:v>
              </c:pt>
              <c:pt idx="3">
                <c:v>3920</c:v>
              </c:pt>
              <c:pt idx="4">
                <c:v>9833</c:v>
              </c:pt>
              <c:pt idx="5">
                <c:v>7277</c:v>
              </c:pt>
              <c:pt idx="6">
                <c:v>4696</c:v>
              </c:pt>
              <c:pt idx="7">
                <c:v>3822</c:v>
              </c:pt>
              <c:pt idx="8">
                <c:v>6713</c:v>
              </c:pt>
              <c:pt idx="9">
                <c:v>7337</c:v>
              </c:pt>
              <c:pt idx="10">
                <c:v>9373</c:v>
              </c:pt>
              <c:pt idx="11">
                <c:v>6456.52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Perio Production as % of Hygiene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Perio %</c:v>
          </c:tx>
          <c:cat>
            <c:strLit>
              <c:ptCount val="12"/>
              <c:pt idx="0">
                <c:v>May 2025</c:v>
              </c:pt>
              <c:pt idx="1">
                <c:v>Jun 2025</c:v>
              </c:pt>
              <c:pt idx="2">
                <c:v>Jul 2025</c:v>
              </c:pt>
              <c:pt idx="3">
                <c:v>Aug 2025</c:v>
              </c:pt>
              <c:pt idx="4">
                <c:v>Sep 2025</c:v>
              </c:pt>
              <c:pt idx="5">
                <c:v>Oct 2025</c:v>
              </c:pt>
              <c:pt idx="6">
                <c:v>Nov 2025</c:v>
              </c:pt>
              <c:pt idx="7">
                <c:v>Dec 2025</c:v>
              </c:pt>
              <c:pt idx="8">
                <c:v>Jan 2026</c:v>
              </c:pt>
              <c:pt idx="9">
                <c:v>Feb 2026</c:v>
              </c:pt>
              <c:pt idx="10">
                <c:v>Mar 2026</c:v>
              </c:pt>
              <c:pt idx="11">
                <c:v>Apr 2026</c:v>
              </c:pt>
            </c:strLit>
          </c:cat>
          <c:val>
            <c:numLit>
              <c:formatCode/>
              <c:ptCount val="12"/>
              <c:pt idx="0">
                <c:v>6.387753927605456</c:v>
              </c:pt>
              <c:pt idx="1">
                <c:v>6.397652044590095</c:v>
              </c:pt>
              <c:pt idx="2">
                <c:v>7.696702976074693</c:v>
              </c:pt>
              <c:pt idx="3">
                <c:v>5.322398881210031</c:v>
              </c:pt>
              <c:pt idx="4">
                <c:v>14.944450354879402</c:v>
              </c:pt>
              <c:pt idx="5">
                <c:v>9.838969186463135</c:v>
              </c:pt>
              <c:pt idx="6">
                <c:v>7.38225492045526</c:v>
              </c:pt>
              <c:pt idx="7">
                <c:v>5.4438310441088475</c:v>
              </c:pt>
              <c:pt idx="8">
                <c:v>10.205229553055641</c:v>
              </c:pt>
              <c:pt idx="9">
                <c:v>11.106753048150507</c:v>
              </c:pt>
              <c:pt idx="10">
                <c:v>11.027577768365571</c:v>
              </c:pt>
              <c:pt idx="11">
                <c:v>7.839624116899101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3</xdr:row>
      <xdr:rowOff>0</xdr:rowOff>
    </xdr:from>
    <xdr:ext cx="66675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c0d1ca98fb4371"/>
        </a:graphicData>
      </a:graphic>
    </xdr:graphicFrame>
    <xdr:clientData/>
  </xdr:oneCellAnchor>
  <xdr:oneCellAnchor>
    <xdr:from>
      <xdr:col>5</xdr:col>
      <xdr:colOff>0</xdr:colOff>
      <xdr:row>20</xdr:row>
      <xdr:rowOff>0</xdr:rowOff>
    </xdr:from>
    <xdr:ext cx="6667500" cy="2476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45d7dba25f4925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MonthlyProduction" displayName="MonthlyProduction" ref="A4:D17" headerRowCount="1">
  <x:tableColumns count="4">
    <x:tableColumn id="1" name="Month"/>
    <x:tableColumn id="2" name="Total Hygiene Production"/>
    <x:tableColumn id="3" name="Perio Code Production"/>
    <x:tableColumn id="4" name="Perio % of Hygiene"/>
  </x:tableColumns>
  <x:tableStyleInfo name="TableStyleMedium2" showRowStripes="1"/>
</x:table>
</file>

<file path=xl/tables/table2.xml><?xml version="1.0" encoding="utf-8"?>
<x:table xmlns:x="http://schemas.openxmlformats.org/spreadsheetml/2006/main" id="2" name="TrendMonthlyProduction" displayName="TrendMonthlyProduction" ref="A4:D17" headerRowCount="1">
  <x:tableColumns count="4">
    <x:tableColumn id="1" name="Month"/>
    <x:tableColumn id="2" name="Hygiene Production"/>
    <x:tableColumn id="3" name="Perio Production"/>
    <x:tableColumn id="4" name="Perio %"/>
  </x:tableColumns>
  <x:tableStyleInfo name="TableStyleMedium2" showRowStripes="1"/>
</x:table>
</file>

<file path=xl/tables/table3.xml><?xml version="1.0" encoding="utf-8"?>
<x:table xmlns:x="http://schemas.openxmlformats.org/spreadsheetml/2006/main" id="3" name="SourceMonthlyProduction" displayName="SourceMonthlyProduction" ref="A4:H17" headerRowCount="1">
  <x:tableColumns count="8">
    <x:tableColumn id="1" name="MonthStart"/>
    <x:tableColumn id="2" name="Month"/>
    <x:tableColumn id="3" name="Hygiene Production"/>
    <x:tableColumn id="4" name="D4341 Production"/>
    <x:tableColumn id="5" name="D4342 Production"/>
    <x:tableColumn id="6" name="D4910 Production"/>
    <x:tableColumn id="7" name="Perio Production"/>
    <x:tableColumn id="8" name="Perio %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c31bea04ce44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4dddbabe7754f4e" /><Relationship Type="http://schemas.openxmlformats.org/officeDocument/2006/relationships/table" Target="/xl/tables/table2.xml" Id="R3a30b6ec863d40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59b206d99f44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210000038146973" hidden="0" customWidth="1"/>
    <x:col min="2" max="2" width="20.860000610351562" hidden="0" customWidth="1"/>
    <x:col min="3" max="3" width="20.049999237060547" hidden="0" customWidth="1"/>
    <x:col min="4" max="4" width="17.899999618530273" hidden="0" customWidth="1"/>
    <x:col min="5" max="5" width="2.8299999237060547" hidden="0" customWidth="1"/>
    <x:col min="6" max="6" width="30.280000686645508" hidden="0" customWidth="1"/>
    <x:col min="7" max="7" width="11.4399995803833" hidden="0" customWidth="1"/>
    <x:col min="8" max="8" width="42.400001525878906" hidden="0" customWidth="1"/>
  </x:cols>
  <x:sheetData>
    <x:row r="1" ht="25.5" customHeight="1">
      <x:c r="A1" s="2" t="str">
        <x:v>Hygiene, Perio, and Recare Coach Report</x:v>
      </x:c>
      <x:c r="B1" s="2" t="str">
        <x:v>Hygiene, Perio, and Recare Coach Report</x:v>
      </x:c>
      <x:c r="C1" s="2" t="str">
        <x:v>Hygiene, Perio, and Recare Coach Report</x:v>
      </x:c>
      <x:c r="D1" s="2" t="str">
        <x:v>Hygiene, Perio, and Recare Coach Report</x:v>
      </x:c>
    </x:row>
    <x:row r="2" ht="18" customHeight="1">
      <x:c r="A2" s="4" t="str">
        <x:v>Production by month: May 1, 2025 through April 30, 2026. Recare snapshot as of May 19, 2026.</x:v>
      </x:c>
    </x:row>
    <x:row r="4" ht="15" hidden="0" customHeight="1">
      <x:c r="A4" s="10" t="str">
        <x:v>Month</x:v>
      </x:c>
      <x:c r="B4" s="10" t="str">
        <x:v>Total Hygiene Production</x:v>
      </x:c>
      <x:c r="C4" s="10" t="str">
        <x:v>Perio Code Production</x:v>
      </x:c>
      <x:c r="D4" s="10" t="str">
        <x:v>Perio % of Hygiene</x:v>
      </x:c>
      <x:c r="F4" s="10" t="str">
        <x:v>Recare / Active Patient Snapshot</x:v>
      </x:c>
      <x:c r="G4" s="10" t="str">
        <x:v>Count</x:v>
      </x:c>
    </x:row>
    <x:row r="5" ht="15" hidden="0" customHeight="1">
      <x:c r="A5" s="7" t="str">
        <x:v>May 2025</x:v>
      </x:c>
      <x:c r="B5" s="8" t="n">
        <x:v>69508</x:v>
      </x:c>
      <x:c r="C5" s="8" t="n">
        <x:v>4440</x:v>
      </x:c>
      <x:c r="D5" s="9" t="n">
        <x:f>IFERROR(C5/B5,0)</x:f>
        <x:v>0.06387753927605455</x:v>
      </x:c>
      <x:c r="F5" s="17" t="str">
        <x:v>Total active adult patients</x:v>
      </x:c>
      <x:c r="G5" s="18" t="n">
        <x:v>4216</x:v>
      </x:c>
    </x:row>
    <x:row r="6" ht="15" hidden="0" customHeight="1">
      <x:c r="A6" s="7" t="str">
        <x:v>Jun 2025</x:v>
      </x:c>
      <x:c r="B6" s="8" t="n">
        <x:v>75981</x:v>
      </x:c>
      <x:c r="C6" s="8" t="n">
        <x:v>4861</x:v>
      </x:c>
      <x:c r="D6" s="9" t="n">
        <x:f>IFERROR(C6/B6,0)</x:f>
        <x:v>0.06397652044590095</x:v>
      </x:c>
      <x:c r="F6" s="17" t="str">
        <x:v>Total active child patients</x:v>
      </x:c>
      <x:c r="G6" s="18" t="n">
        <x:v>463</x:v>
      </x:c>
    </x:row>
    <x:row r="7" ht="15" hidden="0" customHeight="1">
      <x:c r="A7" s="7" t="str">
        <x:v>Jul 2025</x:v>
      </x:c>
      <x:c r="B7" s="8" t="n">
        <x:v>82256</x:v>
      </x:c>
      <x:c r="C7" s="8" t="n">
        <x:v>6331</x:v>
      </x:c>
      <x:c r="D7" s="9" t="n">
        <x:f>IFERROR(C7/B7,0)</x:f>
        <x:v>0.07696702976074693</x:v>
      </x:c>
      <x:c r="F7" s="17" t="str">
        <x:v>Adults on 6 mo recare</x:v>
      </x:c>
      <x:c r="G7" s="18" t="n">
        <x:v>3746</x:v>
      </x:c>
    </x:row>
    <x:row r="8" ht="15" hidden="0" customHeight="1">
      <x:c r="A8" s="7" t="str">
        <x:v>Aug 2025</x:v>
      </x:c>
      <x:c r="B8" s="8" t="n">
        <x:v>73651</x:v>
      </x:c>
      <x:c r="C8" s="8" t="n">
        <x:v>3920</x:v>
      </x:c>
      <x:c r="D8" s="9" t="n">
        <x:f>IFERROR(C8/B8,0)</x:f>
        <x:v>0.05322398881210031</x:v>
      </x:c>
      <x:c r="F8" s="17" t="str">
        <x:v>Adults on 4 mo recare</x:v>
      </x:c>
      <x:c r="G8" s="18" t="n">
        <x:v>217</x:v>
      </x:c>
    </x:row>
    <x:row r="9" ht="15" hidden="0" customHeight="1">
      <x:c r="A9" s="7" t="str">
        <x:v>Sep 2025</x:v>
      </x:c>
      <x:c r="B9" s="8" t="n">
        <x:v>65797</x:v>
      </x:c>
      <x:c r="C9" s="8" t="n">
        <x:v>9833</x:v>
      </x:c>
      <x:c r="D9" s="9" t="n">
        <x:f>IFERROR(C9/B9,0)</x:f>
        <x:v>0.14944450354879402</x:v>
      </x:c>
      <x:c r="F9" s="17" t="str">
        <x:v>Adults on 3 mo recare</x:v>
      </x:c>
      <x:c r="G9" s="18" t="n">
        <x:v>30</x:v>
      </x:c>
    </x:row>
    <x:row r="10" ht="15" hidden="0" customHeight="1">
      <x:c r="A10" s="7" t="str">
        <x:v>Oct 2025</x:v>
      </x:c>
      <x:c r="B10" s="8" t="n">
        <x:v>73961</x:v>
      </x:c>
      <x:c r="C10" s="8" t="n">
        <x:v>7277</x:v>
      </x:c>
      <x:c r="D10" s="9" t="n">
        <x:f>IFERROR(C10/B10,0)</x:f>
        <x:v>0.09838969186463135</x:v>
      </x:c>
      <x:c r="F10" s="17" t="str">
        <x:v>Children on 6 mo recare</x:v>
      </x:c>
      <x:c r="G10" s="18" t="n">
        <x:v>422</x:v>
      </x:c>
    </x:row>
    <x:row r="11">
      <x:c r="A11" s="7" t="str">
        <x:v>Nov 2025</x:v>
      </x:c>
      <x:c r="B11" s="8" t="n">
        <x:v>63612</x:v>
      </x:c>
      <x:c r="C11" s="8" t="n">
        <x:v>4696</x:v>
      </x:c>
      <x:c r="D11" s="9" t="n">
        <x:f>IFERROR(C11/B11,0)</x:f>
        <x:v>0.0738225492045526</x:v>
      </x:c>
    </x:row>
    <x:row r="12">
      <x:c r="A12" s="7" t="str">
        <x:v>Dec 2025</x:v>
      </x:c>
      <x:c r="B12" s="8" t="n">
        <x:v>70207.91</x:v>
      </x:c>
      <x:c r="C12" s="8" t="n">
        <x:v>3822</x:v>
      </x:c>
      <x:c r="D12" s="9" t="n">
        <x:f>IFERROR(C12/B12,0)</x:f>
        <x:v>0.054438310441088475</x:v>
      </x:c>
    </x:row>
    <x:row r="13">
      <x:c r="A13" s="7" t="str">
        <x:v>Jan 2026</x:v>
      </x:c>
      <x:c r="B13" s="8" t="n">
        <x:v>65780</x:v>
      </x:c>
      <x:c r="C13" s="8" t="n">
        <x:v>6713</x:v>
      </x:c>
      <x:c r="D13" s="9" t="n">
        <x:f>IFERROR(C13/B13,0)</x:f>
        <x:v>0.1020522955305564</x:v>
      </x:c>
      <x:c r="F13" s="2" t="str">
        <x:v>Annual metric</x:v>
      </x:c>
      <x:c r="G13" s="2" t="str">
        <x:v>Value</x:v>
      </x:c>
      <x:c r="H13" s="2" t="str">
        <x:v>Notes</x:v>
      </x:c>
    </x:row>
    <x:row r="14">
      <x:c r="A14" s="7" t="str">
        <x:v>Feb 2026</x:v>
      </x:c>
      <x:c r="B14" s="8" t="n">
        <x:v>66058.91</x:v>
      </x:c>
      <x:c r="C14" s="8" t="n">
        <x:v>7337</x:v>
      </x:c>
      <x:c r="D14" s="9" t="n">
        <x:f>IFERROR(C14/B14,0)</x:f>
        <x:v>0.11106753048150507</x:v>
      </x:c>
      <x:c r="F14" s="19" t="str">
        <x:v>Total hygiene production</x:v>
      </x:c>
      <x:c r="G14" s="20" t="n">
        <x:v>874166.3400000001</x:v>
      </x:c>
      <x:c r="H14" s="19" t="str">
        <x:v>Provider IsSecondary = 1</x:v>
      </x:c>
    </x:row>
    <x:row r="15">
      <x:c r="A15" s="7" t="str">
        <x:v>Mar 2026</x:v>
      </x:c>
      <x:c r="B15" s="8" t="n">
        <x:v>84996</x:v>
      </x:c>
      <x:c r="C15" s="8" t="n">
        <x:v>9373</x:v>
      </x:c>
      <x:c r="D15" s="9" t="n">
        <x:f>IFERROR(C15/B15,0)</x:f>
        <x:v>0.1102757776836557</x:v>
      </x:c>
      <x:c r="F15" s="19" t="str">
        <x:v>Total perio code production</x:v>
      </x:c>
      <x:c r="G15" s="20" t="n">
        <x:v>75059.52</x:v>
      </x:c>
      <x:c r="H15" s="19" t="str">
        <x:v>D4341 + D4342 + D4910</x:v>
      </x:c>
    </x:row>
    <x:row r="16">
      <x:c r="A16" s="7" t="str">
        <x:v>Apr 2026</x:v>
      </x:c>
      <x:c r="B16" s="8" t="n">
        <x:v>82357.52</x:v>
      </x:c>
      <x:c r="C16" s="8" t="n">
        <x:v>6456.52</x:v>
      </x:c>
      <x:c r="D16" s="9" t="n">
        <x:f>IFERROR(C16/B16,0)</x:f>
        <x:v>0.07839624116899101</x:v>
      </x:c>
      <x:c r="F16" s="19" t="str">
        <x:v>Perio share of hygiene</x:v>
      </x:c>
      <x:c r="G16" s="21" t="n">
        <x:f>IFERROR(G15/G14,0)</x:f>
        <x:v>0.08586411597591369</x:v>
      </x:c>
      <x:c r="H16" s="19" t="str">
        <x:v>Total perio / total hygiene</x:v>
      </x:c>
    </x:row>
    <x:row r="17">
      <x:c r="A17" s="14" t="str">
        <x:v>Year Total</x:v>
      </x:c>
      <x:c r="B17" s="15" t="n">
        <x:f>SUM(B5:B16)</x:f>
        <x:v>874166.3400000001</x:v>
      </x:c>
      <x:c r="C17" s="15" t="n">
        <x:f>SUM(C5:C16)</x:f>
        <x:v>75059.52</x:v>
      </x:c>
      <x:c r="D17" s="16" t="n">
        <x:f>IFERROR(C17/B17,0)</x:f>
        <x:v>0.08586411597591369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8c31bea04ce44e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210000038146973" hidden="0" customWidth="1"/>
    <x:col min="2" max="2" width="19.520000457763672" hidden="0" customWidth="1"/>
    <x:col min="3" max="3" width="19.520000457763672" hidden="0" customWidth="1"/>
    <x:col min="4" max="4" width="15.75" hidden="0" customWidth="1"/>
    <x:col min="5" max="5" width="2.0199999809265137" hidden="0" customWidth="1"/>
    <x:col min="6" max="6" width="16.81999969482422" hidden="0" customWidth="1"/>
    <x:col min="7" max="7" width="16.81999969482422" hidden="0" customWidth="1"/>
    <x:col min="8" max="8" width="16.81999969482422" hidden="0" customWidth="1"/>
    <x:col min="9" max="9" width="16.81999969482422" hidden="0" customWidth="1"/>
    <x:col min="10" max="10" width="16.81999969482422" hidden="0" customWidth="1"/>
  </x:cols>
  <x:sheetData>
    <x:row r="1" ht="25.5" customHeight="1">
      <x:c r="A1" s="2" t="str">
        <x:v>Monthly Trend</x:v>
      </x:c>
      <x:c r="B1" s="2" t="str">
        <x:v>Monthly Trend</x:v>
      </x:c>
      <x:c r="C1" s="2" t="str">
        <x:v>Monthly Trend</x:v>
      </x:c>
      <x:c r="D1" s="2" t="str">
        <x:v>Monthly Trend</x:v>
      </x:c>
      <x:c r="E1" s="2" t="str">
        <x:v>Monthly Trend</x:v>
      </x:c>
    </x:row>
    <x:row r="2" ht="18" customHeight="1">
      <x:c r="A2" s="4" t="str">
        <x:v>Hygiene production, perio code production, and perio share of hygiene</x:v>
      </x:c>
    </x:row>
    <x:row r="4" ht="30" customHeight="1">
      <x:c r="A4" s="10" t="str">
        <x:v>Month</x:v>
      </x:c>
      <x:c r="B4" s="10" t="str">
        <x:v>Hygiene Production</x:v>
      </x:c>
      <x:c r="C4" s="10" t="str">
        <x:v>Perio Production</x:v>
      </x:c>
      <x:c r="D4" s="10" t="str">
        <x:v>Perio %</x:v>
      </x:c>
    </x:row>
    <x:row r="5">
      <x:c r="A5" s="7" t="str">
        <x:v>May 2025</x:v>
      </x:c>
      <x:c r="B5" s="8" t="n">
        <x:v>69508</x:v>
      </x:c>
      <x:c r="C5" s="8" t="n">
        <x:v>4440</x:v>
      </x:c>
      <x:c r="D5" s="9" t="n">
        <x:f>IFERROR(C5/B5,0)</x:f>
        <x:v>0.06387753927605455</x:v>
      </x:c>
    </x:row>
    <x:row r="6">
      <x:c r="A6" s="7" t="str">
        <x:v>Jun 2025</x:v>
      </x:c>
      <x:c r="B6" s="8" t="n">
        <x:v>75981</x:v>
      </x:c>
      <x:c r="C6" s="8" t="n">
        <x:v>4861</x:v>
      </x:c>
      <x:c r="D6" s="9" t="n">
        <x:f>IFERROR(C6/B6,0)</x:f>
        <x:v>0.06397652044590095</x:v>
      </x:c>
    </x:row>
    <x:row r="7">
      <x:c r="A7" s="7" t="str">
        <x:v>Jul 2025</x:v>
      </x:c>
      <x:c r="B7" s="8" t="n">
        <x:v>82256</x:v>
      </x:c>
      <x:c r="C7" s="8" t="n">
        <x:v>6331</x:v>
      </x:c>
      <x:c r="D7" s="9" t="n">
        <x:f>IFERROR(C7/B7,0)</x:f>
        <x:v>0.07696702976074693</x:v>
      </x:c>
    </x:row>
    <x:row r="8">
      <x:c r="A8" s="7" t="str">
        <x:v>Aug 2025</x:v>
      </x:c>
      <x:c r="B8" s="8" t="n">
        <x:v>73651</x:v>
      </x:c>
      <x:c r="C8" s="8" t="n">
        <x:v>3920</x:v>
      </x:c>
      <x:c r="D8" s="9" t="n">
        <x:f>IFERROR(C8/B8,0)</x:f>
        <x:v>0.05322398881210031</x:v>
      </x:c>
    </x:row>
    <x:row r="9">
      <x:c r="A9" s="7" t="str">
        <x:v>Sep 2025</x:v>
      </x:c>
      <x:c r="B9" s="8" t="n">
        <x:v>65797</x:v>
      </x:c>
      <x:c r="C9" s="8" t="n">
        <x:v>9833</x:v>
      </x:c>
      <x:c r="D9" s="9" t="n">
        <x:f>IFERROR(C9/B9,0)</x:f>
        <x:v>0.14944450354879402</x:v>
      </x:c>
    </x:row>
    <x:row r="10">
      <x:c r="A10" s="7" t="str">
        <x:v>Oct 2025</x:v>
      </x:c>
      <x:c r="B10" s="8" t="n">
        <x:v>73961</x:v>
      </x:c>
      <x:c r="C10" s="8" t="n">
        <x:v>7277</x:v>
      </x:c>
      <x:c r="D10" s="9" t="n">
        <x:f>IFERROR(C10/B10,0)</x:f>
        <x:v>0.09838969186463135</x:v>
      </x:c>
    </x:row>
    <x:row r="11">
      <x:c r="A11" s="7" t="str">
        <x:v>Nov 2025</x:v>
      </x:c>
      <x:c r="B11" s="8" t="n">
        <x:v>63612</x:v>
      </x:c>
      <x:c r="C11" s="8" t="n">
        <x:v>4696</x:v>
      </x:c>
      <x:c r="D11" s="9" t="n">
        <x:f>IFERROR(C11/B11,0)</x:f>
        <x:v>0.0738225492045526</x:v>
      </x:c>
    </x:row>
    <x:row r="12">
      <x:c r="A12" s="7" t="str">
        <x:v>Dec 2025</x:v>
      </x:c>
      <x:c r="B12" s="8" t="n">
        <x:v>70207.91</x:v>
      </x:c>
      <x:c r="C12" s="8" t="n">
        <x:v>3822</x:v>
      </x:c>
      <x:c r="D12" s="9" t="n">
        <x:f>IFERROR(C12/B12,0)</x:f>
        <x:v>0.054438310441088475</x:v>
      </x:c>
    </x:row>
    <x:row r="13">
      <x:c r="A13" s="7" t="str">
        <x:v>Jan 2026</x:v>
      </x:c>
      <x:c r="B13" s="8" t="n">
        <x:v>65780</x:v>
      </x:c>
      <x:c r="C13" s="8" t="n">
        <x:v>6713</x:v>
      </x:c>
      <x:c r="D13" s="9" t="n">
        <x:f>IFERROR(C13/B13,0)</x:f>
        <x:v>0.1020522955305564</x:v>
      </x:c>
    </x:row>
    <x:row r="14">
      <x:c r="A14" s="7" t="str">
        <x:v>Feb 2026</x:v>
      </x:c>
      <x:c r="B14" s="8" t="n">
        <x:v>66058.91</x:v>
      </x:c>
      <x:c r="C14" s="8" t="n">
        <x:v>7337</x:v>
      </x:c>
      <x:c r="D14" s="9" t="n">
        <x:f>IFERROR(C14/B14,0)</x:f>
        <x:v>0.11106753048150507</x:v>
      </x:c>
    </x:row>
    <x:row r="15">
      <x:c r="A15" s="7" t="str">
        <x:v>Mar 2026</x:v>
      </x:c>
      <x:c r="B15" s="8" t="n">
        <x:v>84996</x:v>
      </x:c>
      <x:c r="C15" s="8" t="n">
        <x:v>9373</x:v>
      </x:c>
      <x:c r="D15" s="9" t="n">
        <x:f>IFERROR(C15/B15,0)</x:f>
        <x:v>0.1102757776836557</x:v>
      </x:c>
    </x:row>
    <x:row r="16">
      <x:c r="A16" s="7" t="str">
        <x:v>Apr 2026</x:v>
      </x:c>
      <x:c r="B16" s="8" t="n">
        <x:v>82357.52</x:v>
      </x:c>
      <x:c r="C16" s="8" t="n">
        <x:v>6456.52</x:v>
      </x:c>
      <x:c r="D16" s="9" t="n">
        <x:f>IFERROR(C16/B16,0)</x:f>
        <x:v>0.07839624116899101</x:v>
      </x:c>
    </x:row>
    <x:row r="17">
      <x:c r="A17" s="14" t="str">
        <x:v>Year Total</x:v>
      </x:c>
      <x:c r="B17" s="15" t="n">
        <x:v>874166.3400000001</x:v>
      </x:c>
      <x:c r="C17" s="15" t="n">
        <x:v>75059.52</x:v>
      </x:c>
      <x:c r="D17" s="16" t="n">
        <x:f>IFERROR(C17/B17,0)</x:f>
        <x:v>0.08586411597591369</x:v>
      </x:c>
    </x:row>
  </x:sheetData>
  <x:mergeCells>
    <x:mergeCell ref="A1:E1"/>
    <x:mergeCell ref="A2:E2"/>
  </x:mergeCells>
  <x:pageMargins left="0.7" right="0.7" top="0.75" bottom="0.75" header="0.3" footer="0.3"/>
  <x:drawing xmlns:r="http://schemas.openxmlformats.org/officeDocument/2006/relationships" r:id="R54dddbabe7754f4e"/>
  <x:tableParts count="1">
    <x:tablePart xmlns:r="http://schemas.openxmlformats.org/officeDocument/2006/relationships" r:id="R3a30b6ec863d40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979999542236328" hidden="0" customWidth="1"/>
    <x:col min="2" max="2" width="12.25" hidden="0" customWidth="1"/>
    <x:col min="3" max="3" width="17.6299991607666" hidden="0" customWidth="1"/>
    <x:col min="4" max="4" width="13.859999656677246" hidden="0" customWidth="1"/>
    <x:col min="5" max="5" width="13.859999656677246" hidden="0" customWidth="1"/>
    <x:col min="6" max="6" width="13.859999656677246" hidden="0" customWidth="1"/>
    <x:col min="7" max="7" width="16.290000915527344" hidden="0" customWidth="1"/>
    <x:col min="8" max="8" width="14.9399995803833" hidden="0" customWidth="1"/>
    <x:col min="9" max="9" width="2.559999942779541" hidden="0" customWidth="1"/>
    <x:col min="10" max="10" width="24.899999618530273" hidden="0" customWidth="1"/>
    <x:col min="11" max="11" width="9.020000457763672" hidden="0" customWidth="1"/>
    <x:col min="12" max="12" width="69.30999755859375" hidden="0" customWidth="1"/>
  </x:cols>
  <x:sheetData>
    <x:row r="1" ht="25.5" customHeight="1">
      <x:c r="A1" s="2" t="str">
        <x:v>Source Aggregate Data</x:v>
      </x:c>
      <x:c r="B1" s="2" t="str">
        <x:v>Source Aggregate Data</x:v>
      </x:c>
      <x:c r="C1" s="2" t="str">
        <x:v>Source Aggregate Data</x:v>
      </x:c>
      <x:c r="D1" s="2" t="str">
        <x:v>Source Aggregate Data</x:v>
      </x:c>
      <x:c r="E1" s="2" t="str">
        <x:v>Source Aggregate Data</x:v>
      </x:c>
      <x:c r="F1" s="2" t="str">
        <x:v>Source Aggregate Data</x:v>
      </x:c>
      <x:c r="G1" s="2" t="str">
        <x:v>Source Aggregate Data</x:v>
      </x:c>
      <x:c r="H1" s="2" t="str">
        <x:v>Source Aggregate Data</x:v>
      </x:c>
    </x:row>
    <x:row r="2" ht="18" customHeight="1">
      <x:c r="A2" s="4" t="str">
        <x:v>OpenDental Local API aggregate output; no patient names or procedure-level identifiers included.</x:v>
      </x:c>
    </x:row>
    <x:row r="4" ht="30" customHeight="1">
      <x:c r="A4" s="10" t="str">
        <x:v>MonthStart</x:v>
      </x:c>
      <x:c r="B4" s="10" t="str">
        <x:v>Month</x:v>
      </x:c>
      <x:c r="C4" s="10" t="str">
        <x:v>Hygiene Production</x:v>
      </x:c>
      <x:c r="D4" s="10" t="str">
        <x:v>D4341 Production</x:v>
      </x:c>
      <x:c r="E4" s="10" t="str">
        <x:v>D4342 Production</x:v>
      </x:c>
      <x:c r="F4" s="10" t="str">
        <x:v>D4910 Production</x:v>
      </x:c>
      <x:c r="G4" s="10" t="str">
        <x:v>Perio Production</x:v>
      </x:c>
      <x:c r="H4" s="10" t="str">
        <x:v>Perio %</x:v>
      </x:c>
    </x:row>
    <x:row r="5">
      <x:c r="A5" s="23" t="str">
        <x:v>2025-05-01</x:v>
      </x:c>
      <x:c r="B5" s="7" t="str">
        <x:v>May 2025</x:v>
      </x:c>
      <x:c r="C5" s="8" t="n">
        <x:v>69508</x:v>
      </x:c>
      <x:c r="D5" s="8" t="n">
        <x:v>700</x:v>
      </x:c>
      <x:c r="E5" s="8" t="n">
        <x:v>0</x:v>
      </x:c>
      <x:c r="F5" s="8" t="n">
        <x:v>3740</x:v>
      </x:c>
      <x:c r="G5" s="8" t="n">
        <x:v>4440</x:v>
      </x:c>
      <x:c r="H5" s="9" t="n">
        <x:f>IFERROR(G5/C5,0)</x:f>
        <x:v>0.06387753927605455</x:v>
      </x:c>
    </x:row>
    <x:row r="6">
      <x:c r="A6" s="23" t="str">
        <x:v>2025-06-01</x:v>
      </x:c>
      <x:c r="B6" s="7" t="str">
        <x:v>Jun 2025</x:v>
      </x:c>
      <x:c r="C6" s="8" t="n">
        <x:v>75981</x:v>
      </x:c>
      <x:c r="D6" s="8" t="n">
        <x:v>700</x:v>
      </x:c>
      <x:c r="E6" s="8" t="n">
        <x:v>1052</x:v>
      </x:c>
      <x:c r="F6" s="8" t="n">
        <x:v>3109</x:v>
      </x:c>
      <x:c r="G6" s="8" t="n">
        <x:v>4861</x:v>
      </x:c>
      <x:c r="H6" s="9" t="n">
        <x:f>IFERROR(G6/C6,0)</x:f>
        <x:v>0.06397652044590095</x:v>
      </x:c>
    </x:row>
    <x:row r="7">
      <x:c r="A7" s="23" t="str">
        <x:v>2025-07-01</x:v>
      </x:c>
      <x:c r="B7" s="7" t="str">
        <x:v>Jul 2025</x:v>
      </x:c>
      <x:c r="C7" s="8" t="n">
        <x:v>82256</x:v>
      </x:c>
      <x:c r="D7" s="8" t="n">
        <x:v>2100</x:v>
      </x:c>
      <x:c r="E7" s="8" t="n">
        <x:v>1052</x:v>
      </x:c>
      <x:c r="F7" s="8" t="n">
        <x:v>3179</x:v>
      </x:c>
      <x:c r="G7" s="8" t="n">
        <x:v>6331</x:v>
      </x:c>
      <x:c r="H7" s="9" t="n">
        <x:f>IFERROR(G7/C7,0)</x:f>
        <x:v>0.07696702976074693</x:v>
      </x:c>
    </x:row>
    <x:row r="8">
      <x:c r="A8" s="23" t="str">
        <x:v>2025-08-01</x:v>
      </x:c>
      <x:c r="B8" s="7" t="str">
        <x:v>Aug 2025</x:v>
      </x:c>
      <x:c r="C8" s="8" t="n">
        <x:v>73651</x:v>
      </x:c>
      <x:c r="D8" s="8" t="n">
        <x:v>700</x:v>
      </x:c>
      <x:c r="E8" s="8" t="n">
        <x:v>789</x:v>
      </x:c>
      <x:c r="F8" s="8" t="n">
        <x:v>2431</x:v>
      </x:c>
      <x:c r="G8" s="8" t="n">
        <x:v>3920</x:v>
      </x:c>
      <x:c r="H8" s="9" t="n">
        <x:f>IFERROR(G8/C8,0)</x:f>
        <x:v>0.05322398881210031</x:v>
      </x:c>
    </x:row>
    <x:row r="9">
      <x:c r="A9" s="23" t="str">
        <x:v>2025-09-01</x:v>
      </x:c>
      <x:c r="B9" s="7" t="str">
        <x:v>Sep 2025</x:v>
      </x:c>
      <x:c r="C9" s="8" t="n">
        <x:v>65797</x:v>
      </x:c>
      <x:c r="D9" s="8" t="n">
        <x:v>3358</x:v>
      </x:c>
      <x:c r="E9" s="8" t="n">
        <x:v>1052</x:v>
      </x:c>
      <x:c r="F9" s="8" t="n">
        <x:v>5423</x:v>
      </x:c>
      <x:c r="G9" s="8" t="n">
        <x:v>9833</x:v>
      </x:c>
      <x:c r="H9" s="9" t="n">
        <x:f>IFERROR(G9/C9,0)</x:f>
        <x:v>0.14944450354879402</x:v>
      </x:c>
    </x:row>
    <x:row r="10">
      <x:c r="A10" s="23" t="str">
        <x:v>2025-10-01</x:v>
      </x:c>
      <x:c r="B10" s="7" t="str">
        <x:v>Oct 2025</x:v>
      </x:c>
      <x:c r="C10" s="8" t="n">
        <x:v>73961</x:v>
      </x:c>
      <x:c r="D10" s="8" t="n">
        <x:v>2374</x:v>
      </x:c>
      <x:c r="E10" s="8" t="n">
        <x:v>789</x:v>
      </x:c>
      <x:c r="F10" s="8" t="n">
        <x:v>4114</x:v>
      </x:c>
      <x:c r="G10" s="8" t="n">
        <x:v>7277</x:v>
      </x:c>
      <x:c r="H10" s="9" t="n">
        <x:f>IFERROR(G10/C10,0)</x:f>
        <x:v>0.09838969186463135</x:v>
      </x:c>
    </x:row>
    <x:row r="11">
      <x:c r="A11" s="23" t="str">
        <x:v>2025-11-01</x:v>
      </x:c>
      <x:c r="B11" s="7" t="str">
        <x:v>Nov 2025</x:v>
      </x:c>
      <x:c r="C11" s="8" t="n">
        <x:v>63612</x:v>
      </x:c>
      <x:c r="D11" s="8" t="n">
        <x:v>1400</x:v>
      </x:c>
      <x:c r="E11" s="8" t="n">
        <x:v>1052</x:v>
      </x:c>
      <x:c r="F11" s="8" t="n">
        <x:v>2244</x:v>
      </x:c>
      <x:c r="G11" s="8" t="n">
        <x:v>4696</x:v>
      </x:c>
      <x:c r="H11" s="9" t="n">
        <x:f>IFERROR(G11/C11,0)</x:f>
        <x:v>0.0738225492045526</x:v>
      </x:c>
    </x:row>
    <x:row r="12">
      <x:c r="A12" s="23" t="str">
        <x:v>2025-12-01</x:v>
      </x:c>
      <x:c r="B12" s="7" t="str">
        <x:v>Dec 2025</x:v>
      </x:c>
      <x:c r="C12" s="8" t="n">
        <x:v>70207.91</x:v>
      </x:c>
      <x:c r="D12" s="8" t="n">
        <x:v>0</x:v>
      </x:c>
      <x:c r="E12" s="8" t="n">
        <x:v>1578</x:v>
      </x:c>
      <x:c r="F12" s="8" t="n">
        <x:v>2244</x:v>
      </x:c>
      <x:c r="G12" s="8" t="n">
        <x:v>3822</x:v>
      </x:c>
      <x:c r="H12" s="9" t="n">
        <x:f>IFERROR(G12/C12,0)</x:f>
        <x:v>0.054438310441088475</x:v>
      </x:c>
    </x:row>
    <x:row r="13">
      <x:c r="A13" s="23" t="str">
        <x:v>2026-01-01</x:v>
      </x:c>
      <x:c r="B13" s="7" t="str">
        <x:v>Jan 2026</x:v>
      </x:c>
      <x:c r="C13" s="8" t="n">
        <x:v>65780</x:v>
      </x:c>
      <x:c r="D13" s="8" t="n">
        <x:v>2944</x:v>
      </x:c>
      <x:c r="E13" s="8" t="n">
        <x:v>1104</x:v>
      </x:c>
      <x:c r="F13" s="8" t="n">
        <x:v>2665</x:v>
      </x:c>
      <x:c r="G13" s="8" t="n">
        <x:v>6713</x:v>
      </x:c>
      <x:c r="H13" s="9" t="n">
        <x:f>IFERROR(G13/C13,0)</x:f>
        <x:v>0.1020522955305564</x:v>
      </x:c>
    </x:row>
    <x:row r="14">
      <x:c r="A14" s="23" t="str">
        <x:v>2026-02-01</x:v>
      </x:c>
      <x:c r="B14" s="7" t="str">
        <x:v>Feb 2026</x:v>
      </x:c>
      <x:c r="C14" s="8" t="n">
        <x:v>66058.91</x:v>
      </x:c>
      <x:c r="D14" s="8" t="n">
        <x:v>1840</x:v>
      </x:c>
      <x:c r="E14" s="8" t="n">
        <x:v>1656</x:v>
      </x:c>
      <x:c r="F14" s="8" t="n">
        <x:v>3841</x:v>
      </x:c>
      <x:c r="G14" s="8" t="n">
        <x:v>7337</x:v>
      </x:c>
      <x:c r="H14" s="9" t="n">
        <x:f>IFERROR(G14/C14,0)</x:f>
        <x:v>0.11106753048150507</x:v>
      </x:c>
    </x:row>
    <x:row r="15">
      <x:c r="A15" s="23" t="str">
        <x:v>2026-03-01</x:v>
      </x:c>
      <x:c r="B15" s="7" t="str">
        <x:v>Mar 2026</x:v>
      </x:c>
      <x:c r="C15" s="8" t="n">
        <x:v>84996</x:v>
      </x:c>
      <x:c r="D15" s="8" t="n">
        <x:v>2576</x:v>
      </x:c>
      <x:c r="E15" s="8" t="n">
        <x:v>2760</x:v>
      </x:c>
      <x:c r="F15" s="8" t="n">
        <x:v>4037</x:v>
      </x:c>
      <x:c r="G15" s="8" t="n">
        <x:v>9373</x:v>
      </x:c>
      <x:c r="H15" s="9" t="n">
        <x:f>IFERROR(G15/C15,0)</x:f>
        <x:v>0.1102757776836557</x:v>
      </x:c>
    </x:row>
    <x:row r="16">
      <x:c r="A16" s="23" t="str">
        <x:v>2026-04-01</x:v>
      </x:c>
      <x:c r="B16" s="7" t="str">
        <x:v>Apr 2026</x:v>
      </x:c>
      <x:c r="C16" s="8" t="n">
        <x:v>82357.52</x:v>
      </x:c>
      <x:c r="D16" s="8" t="n">
        <x:v>1236.52</x:v>
      </x:c>
      <x:c r="E16" s="8" t="n">
        <x:v>1104</x:v>
      </x:c>
      <x:c r="F16" s="8" t="n">
        <x:v>4116</x:v>
      </x:c>
      <x:c r="G16" s="8" t="n">
        <x:v>6456.52</x:v>
      </x:c>
      <x:c r="H16" s="9" t="n">
        <x:f>IFERROR(G16/C16,0)</x:f>
        <x:v>0.07839624116899101</x:v>
      </x:c>
    </x:row>
    <x:row r="17">
      <x:c r="A17" s="14" t="str">
        <x:v>Year Total</x:v>
      </x:c>
      <x:c r="B17" s="14" t="str"/>
      <x:c r="C17" s="15" t="n">
        <x:f>SUM(C5:C16)</x:f>
        <x:v>874166.3400000001</x:v>
      </x:c>
      <x:c r="D17" s="15" t="n">
        <x:f>SUM(D5:D16)</x:f>
        <x:v>19928.52</x:v>
      </x:c>
      <x:c r="E17" s="15" t="n">
        <x:f>SUM(E5:E16)</x:f>
        <x:v>13988</x:v>
      </x:c>
      <x:c r="F17" s="15" t="n">
        <x:f>SUM(F5:F16)</x:f>
        <x:v>41143</x:v>
      </x:c>
      <x:c r="G17" s="15" t="n">
        <x:f>SUM(G5:G16)</x:f>
        <x:v>75059.52</x:v>
      </x:c>
      <x:c r="H17" s="16" t="n">
        <x:f>IFERROR(G17/C17,0)</x:f>
        <x:v>0.08586411597591369</x:v>
      </x:c>
    </x:row>
    <x:row r="20">
      <x:c r="J20" s="10" t="str">
        <x:v>Recare Snapshot</x:v>
      </x:c>
      <x:c r="K20" s="10" t="str">
        <x:v>Count</x:v>
      </x:c>
      <x:c r="L20" s="10" t="str">
        <x:v>Definition</x:v>
      </x:c>
    </x:row>
    <x:row r="21" ht="33" customHeight="1">
      <x:c r="J21" s="24" t="str">
        <x:v>Total active adult patients</x:v>
      </x:c>
      <x:c r="K21" s="25" t="n">
        <x:v>4216</x:v>
      </x:c>
      <x:c r="L21" s="24" t="str">
        <x:v>Active patients age 18+ as of May 19, 2026</x:v>
      </x:c>
    </x:row>
    <x:row r="22" ht="33" customHeight="1">
      <x:c r="J22" s="24" t="str">
        <x:v>Total active child patients</x:v>
      </x:c>
      <x:c r="K22" s="25" t="n">
        <x:v>463</x:v>
      </x:c>
      <x:c r="L22" s="24" t="str">
        <x:v>Active patients under 18 as of May 19, 2026</x:v>
      </x:c>
    </x:row>
    <x:row r="23" ht="33" customHeight="1">
      <x:c r="J23" s="24" t="str">
        <x:v>Adults on 6 mo recare</x:v>
      </x:c>
      <x:c r="K23" s="25" t="n">
        <x:v>3746</x:v>
      </x:c>
      <x:c r="L23" s="24" t="str">
        <x:v>Enabled Prophy/Perio recall interval bucket = 6 months</x:v>
      </x:c>
    </x:row>
    <x:row r="24" ht="33" customHeight="1">
      <x:c r="J24" s="24" t="str">
        <x:v>Adults on 4 mo recare</x:v>
      </x:c>
      <x:c r="K24" s="25" t="n">
        <x:v>217</x:v>
      </x:c>
      <x:c r="L24" s="24" t="str">
        <x:v>Enabled Prophy/Perio recall interval bucket = 4 months</x:v>
      </x:c>
    </x:row>
    <x:row r="25" ht="33" customHeight="1">
      <x:c r="J25" s="24" t="str">
        <x:v>Adults on 3 mo recare</x:v>
      </x:c>
      <x:c r="K25" s="25" t="n">
        <x:v>30</x:v>
      </x:c>
      <x:c r="L25" s="24" t="str">
        <x:v>Enabled Prophy/Perio recall interval bucket = 3 months</x:v>
      </x:c>
    </x:row>
    <x:row r="26" ht="33" customHeight="1">
      <x:c r="J26" s="24" t="str">
        <x:v>Children on 6 mo recare</x:v>
      </x:c>
      <x:c r="K26" s="25" t="n">
        <x:v>422</x:v>
      </x:c>
      <x:c r="L26" s="24" t="str">
        <x:v>Enabled six-month recall; child prophy rows are stored under Prophy in this data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259b206d99f44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98.91999816894531" hidden="0" customWidth="1"/>
  </x:cols>
  <x:sheetData>
    <x:row r="1" ht="25.5" customHeight="1">
      <x:c r="A1" s="2" t="str">
        <x:v>Method Notes</x:v>
      </x:c>
      <x:c r="B1" s="2" t="str">
        <x:v>Method Notes</x:v>
      </x:c>
    </x:row>
    <x:row r="2" ht="18" customHeight="1">
      <x:c r="A2" s="4" t="str">
        <x:v>Definitions and assumptions used for this report</x:v>
      </x:c>
    </x:row>
    <x:row r="4" ht="36" customHeight="1">
      <x:c r="A4" s="27" t="str">
        <x:v>Report window</x:v>
      </x:c>
      <x:c r="B4" s="28" t="str">
        <x:v>May 1, 2025 through April 30, 2026 for monthly production.</x:v>
      </x:c>
    </x:row>
    <x:row r="5" ht="36" customHeight="1">
      <x:c r="A5" s="27" t="str">
        <x:v>Recare snapshot date</x:v>
      </x:c>
      <x:c r="B5" s="28" t="str">
        <x:v>May 19, 2026.</x:v>
      </x:c>
    </x:row>
    <x:row r="6" ht="36" customHeight="1">
      <x:c r="A6" s="27" t="str">
        <x:v>Hygiene production</x:v>
      </x:c>
      <x:c r="B6" s="28" t="str">
        <x:v>Completed procedurelog rows where provider.IsSecondary = 1. Production formula is ProcFee * (UnitQty + BaseUnits), matching the app's monthly report convention.</x:v>
      </x:c>
    </x:row>
    <x:row r="7" ht="36" customHeight="1">
      <x:c r="A7" s="27" t="str">
        <x:v>Perio code production</x:v>
      </x:c>
      <x:c r="B7" s="28" t="str">
        <x:v>Completed procedurelog rows with procedure codes D4341, D4342, or D4910. The request listed 4342 twice; this report uses the same perio set from the prior workbook.</x:v>
      </x:c>
    </x:row>
    <x:row r="8" ht="36" customHeight="1">
      <x:c r="A8" s="27" t="str">
        <x:v>Perio %</x:v>
      </x:c>
      <x:c r="B8" s="28" t="str">
        <x:v>Perio code production divided by total hygiene production for the month.</x:v>
      </x:c>
    </x:row>
    <x:row r="9" ht="36" customHeight="1">
      <x:c r="A9" s="27" t="str">
        <x:v>Active patients</x:v>
      </x:c>
      <x:c r="B9" s="28" t="str">
        <x:v>Patients where patient.PatStatus = 0; adult/child split uses age 18 as of May 19, 2026.</x:v>
      </x:c>
    </x:row>
    <x:row r="10" ht="36" customHeight="1">
      <x:c r="A10" s="27" t="str">
        <x:v>Recare counts</x:v>
      </x:c>
      <x:c r="B10" s="28" t="str">
        <x:v>Distinct active patients with enabled recall rows where IsDisabled = 0 and RecallTypeNum is Prophy or Perio.</x:v>
      </x:c>
    </x:row>
    <x:row r="11" ht="36" customHeight="1">
      <x:c r="A11" s="27" t="str">
        <x:v>Recall interval buckets</x:v>
      </x:c>
      <x:c r="B11" s="28" t="str">
        <x:v>OpenDental recall intervals were bucketed by encoded month value: 3, 4, or 6 months. Values with zero or one day in the lower component are included in the same month bucket.</x:v>
      </x:c>
    </x:row>
    <x:row r="12" ht="36" customHeight="1">
      <x:c r="A12" s="27" t="str">
        <x:v>Child 6 mo recare</x:v>
      </x:c>
      <x:c r="B12" s="28" t="str">
        <x:v>The active child six-month recall count is 422. In this database, child recall rows appear under the Prophy recall type rather than the separate Child Prophy recall type.</x:v>
      </x:c>
    </x:row>
    <x:row r="13" ht="36" customHeight="1">
      <x:c r="A13" s="27" t="str">
        <x:v>Privacy</x:v>
      </x:c>
      <x:c r="B13" s="28" t="str">
        <x:v>Workbook contains aggregate counts and dollars only, not patient-level detail.</x:v>
      </x:c>
    </x:row>
  </x:sheetData>
  <x:mergeCells>
    <x:mergeCell ref="A1:B1"/>
    <x:mergeCell ref="A2:B2"/>
  </x:mergeCells>
  <x:pageMargins left="0.7" right="0.7" top="0.75" bottom="0.75" header="0.3" footer="0.3"/>
</x:worksheet>
</file>