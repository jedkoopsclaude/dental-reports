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9f53507a1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c3365364374e3c"/>
    <x:sheet xmlns:r="http://schemas.openxmlformats.org/officeDocument/2006/relationships" name="Trend Chart" sheetId="2" r:id="R7c686e66b58a454b"/>
    <x:sheet xmlns:r="http://schemas.openxmlformats.org/officeDocument/2006/relationships" name="Source Data" sheetId="3" r:id="R3c68dc250d9740e1"/>
    <x:sheet xmlns:r="http://schemas.openxmlformats.org/officeDocument/2006/relationships" name="Notes" sheetId="4" r:id="R74613fba7d6c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5">
    <x:font>
      <x:sz val="11"/>
      <x:name val="Carlito"/>
    </x:font>
    <x:font>
      <x:b/>
      <x:sz val="11"/>
      <x:color rgb="FFFFFF"/>
      <x:name val="Carlito"/>
    </x:font>
    <x:font>
      <x:sz val="11"/>
      <x:color rgb="5F6F73"/>
      <x:name val="Carlito"/>
    </x:font>
    <x:font>
      <x:sz val="11"/>
      <x:color rgb="20343B"/>
      <x:name val="Carlito"/>
    </x:font>
    <x:font>
      <x:b/>
      <x:sz val="11"/>
      <x:color rgb="2034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5D65"/>
      </x:patternFill>
    </x:fill>
    <x:fill>
      <x:patternFill patternType="solid">
        <x:fgColor rgb="EEF6F7"/>
      </x:patternFill>
    </x:fill>
    <x:fill>
      <x:patternFill patternType="solid">
        <x:fgColor rgb="F8FBFB"/>
      </x:patternFill>
    </x:fill>
    <x:fill>
      <x:patternFill patternType="solid">
        <x:fgColor rgb="E7F4EA"/>
      </x:patternFill>
    </x:fill>
    <x:fill>
      <x:patternFill patternType="solid">
        <x:fgColor rgb="FFF8E8"/>
      </x:patternFill>
    </x:fill>
    <x:fill>
      <x:patternFill patternType="solid">
        <x:fgColor rgb="DDEEEF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200" fontId="0" fillId="4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5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34e3d8fd5448e" /><Relationship Type="http://schemas.openxmlformats.org/officeDocument/2006/relationships/theme" Target="/xl/theme/theme1.xml" Id="R4941aece8e024dcc" /><Relationship Type="http://schemas.openxmlformats.org/officeDocument/2006/relationships/sharedStrings" Target="/xl/sharedStrings.xml" Id="Re598fda0832d41ca" /><Relationship Type="http://schemas.openxmlformats.org/officeDocument/2006/relationships/worksheet" Target="/xl/worksheets/sheet1.xml" Id="Ra4c3365364374e3c" /><Relationship Type="http://schemas.openxmlformats.org/officeDocument/2006/relationships/worksheet" Target="/xl/worksheets/sheet2.xml" Id="R7c686e66b58a454b" /><Relationship Type="http://schemas.openxmlformats.org/officeDocument/2006/relationships/worksheet" Target="/xl/worksheets/sheet3.xml" Id="R3c68dc250d9740e1" /><Relationship Type="http://schemas.openxmlformats.org/officeDocument/2006/relationships/worksheet" Target="/xl/worksheets/sheet4.xml" Id="R74613fba7d6c49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4528ee3b0c47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Code Volume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Periodontal Total</c:v>
          </c:tx>
          <c:cat>
            <c:strLit>
              <c:ptCount val="12"/>
              <c:pt idx="0">
                <c:v>May 2025</c:v>
              </c:pt>
              <c:pt idx="1">
                <c:v>Jun 2025</c:v>
              </c:pt>
              <c:pt idx="2">
                <c:v>Jul 2025</c:v>
              </c:pt>
              <c:pt idx="3">
                <c:v>Aug 2025</c:v>
              </c:pt>
              <c:pt idx="4">
                <c:v>Sep 2025</c:v>
              </c:pt>
              <c:pt idx="5">
                <c:v>Oct 2025</c:v>
              </c:pt>
              <c:pt idx="6">
                <c:v>Nov 2025</c:v>
              </c:pt>
              <c:pt idx="7">
                <c:v>Dec 2025</c:v>
              </c:pt>
              <c:pt idx="8">
                <c:v>Jan 2026</c:v>
              </c:pt>
              <c:pt idx="9">
                <c:v>Feb 2026</c:v>
              </c:pt>
              <c:pt idx="10">
                <c:v>Mar 2026</c:v>
              </c:pt>
              <c:pt idx="11">
                <c:v>Apr 2026</c:v>
              </c:pt>
            </c:strLit>
          </c:cat>
          <c:val>
            <c:numLit>
              <c:formatCode/>
              <c:ptCount val="12"/>
              <c:pt idx="0">
                <c:v>22</c:v>
              </c:pt>
              <c:pt idx="1">
                <c:v>23</c:v>
              </c:pt>
              <c:pt idx="2">
                <c:v>27</c:v>
              </c:pt>
              <c:pt idx="3">
                <c:v>18</c:v>
              </c:pt>
              <c:pt idx="4">
                <c:v>43</c:v>
              </c:pt>
              <c:pt idx="5">
                <c:v>33</c:v>
              </c:pt>
              <c:pt idx="6">
                <c:v>20</c:v>
              </c:pt>
              <c:pt idx="7">
                <c:v>18</c:v>
              </c:pt>
              <c:pt idx="8">
                <c:v>26</c:v>
              </c:pt>
              <c:pt idx="9">
                <c:v>31</c:v>
              </c:pt>
              <c:pt idx="10">
                <c:v>39</c:v>
              </c:pt>
              <c:pt idx="11">
                <c:v>29</c:v>
              </c:pt>
            </c:numLit>
          </c:val>
          <c:smooth val="0"/>
        </c:ser>
        <c:ser>
          <c:idx val="1"/>
          <c:order val="1"/>
          <c:tx>
            <c:v>D0150 Over 18</c:v>
          </c:tx>
          <c:cat>
            <c:strLit>
              <c:ptCount val="12"/>
              <c:pt idx="0">
                <c:v>May 2025</c:v>
              </c:pt>
              <c:pt idx="1">
                <c:v>Jun 2025</c:v>
              </c:pt>
              <c:pt idx="2">
                <c:v>Jul 2025</c:v>
              </c:pt>
              <c:pt idx="3">
                <c:v>Aug 2025</c:v>
              </c:pt>
              <c:pt idx="4">
                <c:v>Sep 2025</c:v>
              </c:pt>
              <c:pt idx="5">
                <c:v>Oct 2025</c:v>
              </c:pt>
              <c:pt idx="6">
                <c:v>Nov 2025</c:v>
              </c:pt>
              <c:pt idx="7">
                <c:v>Dec 2025</c:v>
              </c:pt>
              <c:pt idx="8">
                <c:v>Jan 2026</c:v>
              </c:pt>
              <c:pt idx="9">
                <c:v>Feb 2026</c:v>
              </c:pt>
              <c:pt idx="10">
                <c:v>Mar 2026</c:v>
              </c:pt>
              <c:pt idx="11">
                <c:v>Apr 2026</c:v>
              </c:pt>
            </c:strLit>
          </c:cat>
          <c:val>
            <c:numLit>
              <c:formatCode/>
              <c:ptCount val="12"/>
              <c:pt idx="0">
                <c:v>23</c:v>
              </c:pt>
              <c:pt idx="1">
                <c:v>26</c:v>
              </c:pt>
              <c:pt idx="2">
                <c:v>28</c:v>
              </c:pt>
              <c:pt idx="3">
                <c:v>36</c:v>
              </c:pt>
              <c:pt idx="4">
                <c:v>29</c:v>
              </c:pt>
              <c:pt idx="5">
                <c:v>27</c:v>
              </c:pt>
              <c:pt idx="6">
                <c:v>29</c:v>
              </c:pt>
              <c:pt idx="7">
                <c:v>21</c:v>
              </c:pt>
              <c:pt idx="8">
                <c:v>29</c:v>
              </c:pt>
              <c:pt idx="9">
                <c:v>19</c:v>
              </c:pt>
              <c:pt idx="10">
                <c:v>29</c:v>
              </c:pt>
              <c:pt idx="11">
                <c:v>27</c:v>
              </c:pt>
            </c:numLit>
          </c:val>
          <c:smooth val="0"/>
        </c:ser>
        <c:ser>
          <c:idx val="2"/>
          <c:order val="2"/>
          <c:tx>
            <c:v>D0150 Under 18</c:v>
          </c:tx>
          <c:cat>
            <c:strLit>
              <c:ptCount val="12"/>
              <c:pt idx="0">
                <c:v>May 2025</c:v>
              </c:pt>
              <c:pt idx="1">
                <c:v>Jun 2025</c:v>
              </c:pt>
              <c:pt idx="2">
                <c:v>Jul 2025</c:v>
              </c:pt>
              <c:pt idx="3">
                <c:v>Aug 2025</c:v>
              </c:pt>
              <c:pt idx="4">
                <c:v>Sep 2025</c:v>
              </c:pt>
              <c:pt idx="5">
                <c:v>Oct 2025</c:v>
              </c:pt>
              <c:pt idx="6">
                <c:v>Nov 2025</c:v>
              </c:pt>
              <c:pt idx="7">
                <c:v>Dec 2025</c:v>
              </c:pt>
              <c:pt idx="8">
                <c:v>Jan 2026</c:v>
              </c:pt>
              <c:pt idx="9">
                <c:v>Feb 2026</c:v>
              </c:pt>
              <c:pt idx="10">
                <c:v>Mar 2026</c:v>
              </c:pt>
              <c:pt idx="11">
                <c:v>Apr 2026</c:v>
              </c:pt>
            </c:strLit>
          </c:cat>
          <c:val>
            <c:numLit>
              <c:formatCode/>
              <c:ptCount val="12"/>
              <c:pt idx="0">
                <c:v>6</c:v>
              </c:pt>
              <c:pt idx="1">
                <c:v>4</c:v>
              </c:pt>
              <c:pt idx="2">
                <c:v>11</c:v>
              </c:pt>
              <c:pt idx="3">
                <c:v>12</c:v>
              </c:pt>
              <c:pt idx="4">
                <c:v>8</c:v>
              </c:pt>
              <c:pt idx="5">
                <c:v>7</c:v>
              </c:pt>
              <c:pt idx="6">
                <c:v>9</c:v>
              </c:pt>
              <c:pt idx="7">
                <c:v>5</c:v>
              </c:pt>
              <c:pt idx="8">
                <c:v>9</c:v>
              </c:pt>
              <c:pt idx="9">
                <c:v>3</c:v>
              </c:pt>
              <c:pt idx="10">
                <c:v>5</c:v>
              </c:pt>
              <c:pt idx="11">
                <c:v>5</c:v>
              </c:pt>
            </c:numLit>
          </c:val>
          <c:smooth val="0"/>
        </c:ser>
        <c:ser>
          <c:idx val="3"/>
          <c:order val="3"/>
          <c:tx>
            <c:v>Prophy Total</c:v>
          </c:tx>
          <c:cat>
            <c:strLit>
              <c:ptCount val="12"/>
              <c:pt idx="0">
                <c:v>May 2025</c:v>
              </c:pt>
              <c:pt idx="1">
                <c:v>Jun 2025</c:v>
              </c:pt>
              <c:pt idx="2">
                <c:v>Jul 2025</c:v>
              </c:pt>
              <c:pt idx="3">
                <c:v>Aug 2025</c:v>
              </c:pt>
              <c:pt idx="4">
                <c:v>Sep 2025</c:v>
              </c:pt>
              <c:pt idx="5">
                <c:v>Oct 2025</c:v>
              </c:pt>
              <c:pt idx="6">
                <c:v>Nov 2025</c:v>
              </c:pt>
              <c:pt idx="7">
                <c:v>Dec 2025</c:v>
              </c:pt>
              <c:pt idx="8">
                <c:v>Jan 2026</c:v>
              </c:pt>
              <c:pt idx="9">
                <c:v>Feb 2026</c:v>
              </c:pt>
              <c:pt idx="10">
                <c:v>Mar 2026</c:v>
              </c:pt>
              <c:pt idx="11">
                <c:v>Apr 2026</c:v>
              </c:pt>
            </c:strLit>
          </c:cat>
          <c:val>
            <c:numLit>
              <c:formatCode/>
              <c:ptCount val="12"/>
              <c:pt idx="0">
                <c:v>321</c:v>
              </c:pt>
              <c:pt idx="1">
                <c:v>324</c:v>
              </c:pt>
              <c:pt idx="2">
                <c:v>358</c:v>
              </c:pt>
              <c:pt idx="3">
                <c:v>319</c:v>
              </c:pt>
              <c:pt idx="4">
                <c:v>275</c:v>
              </c:pt>
              <c:pt idx="5">
                <c:v>337</c:v>
              </c:pt>
              <c:pt idx="6">
                <c:v>300</c:v>
              </c:pt>
              <c:pt idx="7">
                <c:v>307</c:v>
              </c:pt>
              <c:pt idx="8">
                <c:v>271</c:v>
              </c:pt>
              <c:pt idx="9">
                <c:v>284</c:v>
              </c:pt>
              <c:pt idx="10">
                <c:v>356</c:v>
              </c:pt>
              <c:pt idx="11">
                <c:v>340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3</xdr:row>
      <xdr:rowOff>0</xdr:rowOff>
    </xdr:from>
    <xdr:ext cx="6858000" cy="3238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4528ee3b0c47a3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SummaryCounts" displayName="SummaryCounts" ref="A4:K17" headerRowCount="1">
  <x:tableColumns count="11">
    <x:tableColumn id="1" name="Month"/>
    <x:tableColumn id="2" name="D4341"/>
    <x:tableColumn id="3" name="D4342"/>
    <x:tableColumn id="4" name="D4910"/>
    <x:tableColumn id="5" name="Periodontal Total"/>
    <x:tableColumn id="6" name="D0150 Over 18"/>
    <x:tableColumn id="7" name="D0150 Under 18"/>
    <x:tableColumn id="8" name="D0150 Total"/>
    <x:tableColumn id="9" name="Adult Prophy D1110"/>
    <x:tableColumn id="10" name="Child Prophy D1120"/>
    <x:tableColumn id="11" name="Prophy Total"/>
  </x:tableColumns>
  <x:tableStyleInfo name="TableStyleMedium2" showRowStripes="1"/>
</x:table>
</file>

<file path=xl/tables/table2.xml><?xml version="1.0" encoding="utf-8"?>
<x:table xmlns:x="http://schemas.openxmlformats.org/spreadsheetml/2006/main" id="2" name="TrendCounts" displayName="TrendCounts" ref="A4:E17" headerRowCount="1">
  <x:tableColumns count="5">
    <x:tableColumn id="1" name="Month"/>
    <x:tableColumn id="2" name="Periodontal Total"/>
    <x:tableColumn id="3" name="D0150 Over 18"/>
    <x:tableColumn id="4" name="D0150 Under 18"/>
    <x:tableColumn id="5" name="Prophy Total"/>
  </x:tableColumns>
  <x:tableStyleInfo name="TableStyleMedium2" showRowStripes="1"/>
</x:table>
</file>

<file path=xl/tables/table3.xml><?xml version="1.0" encoding="utf-8"?>
<x:table xmlns:x="http://schemas.openxmlformats.org/spreadsheetml/2006/main" id="3" name="SourceAggregateCounts" displayName="SourceAggregateCounts" ref="A4:L17" headerRowCount="1">
  <x:tableColumns count="12">
    <x:tableColumn id="1" name="MonthStart"/>
    <x:tableColumn id="2" name="Month"/>
    <x:tableColumn id="3" name="D4341"/>
    <x:tableColumn id="4" name="D4342"/>
    <x:tableColumn id="5" name="D4910"/>
    <x:tableColumn id="6" name="Perio Total"/>
    <x:tableColumn id="7" name="D0150 Adult 18+"/>
    <x:tableColumn id="8" name="D0150 Under 18"/>
    <x:tableColumn id="9" name="D0150 All Ages"/>
    <x:tableColumn id="10" name="D1110"/>
    <x:tableColumn id="11" name="D1120"/>
    <x:tableColumn id="12" name="Prophy Tot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877da1c6a341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705f009d0db47a1" /><Relationship Type="http://schemas.openxmlformats.org/officeDocument/2006/relationships/table" Target="/xl/tables/table2.xml" Id="Rad602da388b340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4d5b1a390bd49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440000534057617" hidden="0" customWidth="1"/>
    <x:col min="2" max="2" width="9.5600004196167" hidden="0" customWidth="1"/>
    <x:col min="3" max="3" width="9.5600004196167" hidden="0" customWidth="1"/>
    <x:col min="4" max="4" width="9.5600004196167" hidden="0" customWidth="1"/>
    <x:col min="5" max="5" width="14.399999618530273" hidden="0" customWidth="1"/>
    <x:col min="6" max="6" width="14.9399995803833" hidden="0" customWidth="1"/>
    <x:col min="7" max="7" width="14.9399995803833" hidden="0" customWidth="1"/>
    <x:col min="8" max="8" width="12.25" hidden="0" customWidth="1"/>
    <x:col min="9" max="9" width="14.399999618530273" hidden="0" customWidth="1"/>
    <x:col min="10" max="10" width="14.399999618530273" hidden="0" customWidth="1"/>
    <x:col min="11" max="11" width="13.319999694824219" hidden="0" customWidth="1"/>
  </x:cols>
  <x:sheetData>
    <x:row r="1" ht="25.5" customHeight="1">
      <x:c r="A1" s="4" t="str">
        <x:v>Coach CDT Code Report</x:v>
      </x:c>
      <x:c r="B1" s="4" t="str">
        <x:v>Coach CDT Code Report</x:v>
      </x:c>
      <x:c r="C1" s="4" t="str">
        <x:v>Coach CDT Code Report</x:v>
      </x:c>
      <x:c r="D1" s="4" t="str">
        <x:v>Coach CDT Code Report</x:v>
      </x:c>
      <x:c r="E1" s="4" t="str">
        <x:v>Coach CDT Code Report</x:v>
      </x:c>
      <x:c r="F1" s="4" t="str">
        <x:v>Coach CDT Code Report</x:v>
      </x:c>
      <x:c r="G1" s="4" t="str">
        <x:v>Coach CDT Code Report</x:v>
      </x:c>
      <x:c r="H1" s="4" t="str">
        <x:v>Coach CDT Code Report</x:v>
      </x:c>
      <x:c r="I1" s="4" t="str">
        <x:v>Coach CDT Code Report</x:v>
      </x:c>
      <x:c r="J1" s="4" t="str">
        <x:v>Coach CDT Code Report</x:v>
      </x:c>
      <x:c r="K1" s="4" t="str">
        <x:v>Coach CDT Code Report</x:v>
      </x:c>
    </x:row>
    <x:row r="2" ht="18" customHeight="1">
      <x:c r="A2" s="8" t="str">
        <x:v>Completed OpenDental procedure codes grouped by ProcDate, May 1, 2025 through April 30, 2026</x:v>
      </x:c>
    </x:row>
    <x:row r="4" ht="31.5" customHeight="1">
      <x:c r="A4" s="13" t="str">
        <x:v>Month</x:v>
      </x:c>
      <x:c r="B4" s="13" t="str">
        <x:v>D4341</x:v>
      </x:c>
      <x:c r="C4" s="13" t="str">
        <x:v>D4342</x:v>
      </x:c>
      <x:c r="D4" s="13" t="str">
        <x:v>D4910</x:v>
      </x:c>
      <x:c r="E4" s="13" t="str">
        <x:v>Periodontal Total</x:v>
      </x:c>
      <x:c r="F4" s="13" t="str">
        <x:v>D0150 Over 18</x:v>
      </x:c>
      <x:c r="G4" s="13" t="str">
        <x:v>D0150 Under 18</x:v>
      </x:c>
      <x:c r="H4" s="13" t="str">
        <x:v>D0150 Total</x:v>
      </x:c>
      <x:c r="I4" s="13" t="str">
        <x:v>Adult Prophy D1110</x:v>
      </x:c>
      <x:c r="J4" s="13" t="str">
        <x:v>Child Prophy D1120</x:v>
      </x:c>
      <x:c r="K4" s="13" t="str">
        <x:v>Prophy Total</x:v>
      </x:c>
    </x:row>
    <x:row r="5">
      <x:c r="A5" s="11" t="str">
        <x:v>May 2025</x:v>
      </x:c>
      <x:c r="B5" s="12" t="n">
        <x:v>2</x:v>
      </x:c>
      <x:c r="C5" s="12" t="n">
        <x:v>0</x:v>
      </x:c>
      <x:c r="D5" s="12" t="n">
        <x:v>20</x:v>
      </x:c>
      <x:c r="E5" s="12" t="n">
        <x:f>SUM(B5:D5)</x:f>
        <x:v>22</x:v>
      </x:c>
      <x:c r="F5" s="12" t="n">
        <x:v>23</x:v>
      </x:c>
      <x:c r="G5" s="12" t="n">
        <x:v>6</x:v>
      </x:c>
      <x:c r="H5" s="12" t="n">
        <x:f>SUM(F5:G5)</x:f>
        <x:v>29</x:v>
      </x:c>
      <x:c r="I5" s="12" t="n">
        <x:v>299</x:v>
      </x:c>
      <x:c r="J5" s="12" t="n">
        <x:v>22</x:v>
      </x:c>
      <x:c r="K5" s="12" t="n">
        <x:f>SUM(I5:J5)</x:f>
        <x:v>321</x:v>
      </x:c>
    </x:row>
    <x:row r="6">
      <x:c r="A6" s="11" t="str">
        <x:v>Jun 2025</x:v>
      </x:c>
      <x:c r="B6" s="12" t="n">
        <x:v>2</x:v>
      </x:c>
      <x:c r="C6" s="12" t="n">
        <x:v>4</x:v>
      </x:c>
      <x:c r="D6" s="12" t="n">
        <x:v>17</x:v>
      </x:c>
      <x:c r="E6" s="12" t="n">
        <x:f>SUM(B6:D6)</x:f>
        <x:v>23</x:v>
      </x:c>
      <x:c r="F6" s="12" t="n">
        <x:v>26</x:v>
      </x:c>
      <x:c r="G6" s="12" t="n">
        <x:v>4</x:v>
      </x:c>
      <x:c r="H6" s="12" t="n">
        <x:f>SUM(F6:G6)</x:f>
        <x:v>30</x:v>
      </x:c>
      <x:c r="I6" s="12" t="n">
        <x:v>290</x:v>
      </x:c>
      <x:c r="J6" s="12" t="n">
        <x:v>34</x:v>
      </x:c>
      <x:c r="K6" s="12" t="n">
        <x:f>SUM(I6:J6)</x:f>
        <x:v>324</x:v>
      </x:c>
    </x:row>
    <x:row r="7">
      <x:c r="A7" s="11" t="str">
        <x:v>Jul 2025</x:v>
      </x:c>
      <x:c r="B7" s="12" t="n">
        <x:v>6</x:v>
      </x:c>
      <x:c r="C7" s="12" t="n">
        <x:v>4</x:v>
      </x:c>
      <x:c r="D7" s="12" t="n">
        <x:v>17</x:v>
      </x:c>
      <x:c r="E7" s="12" t="n">
        <x:f>SUM(B7:D7)</x:f>
        <x:v>27</x:v>
      </x:c>
      <x:c r="F7" s="12" t="n">
        <x:v>28</x:v>
      </x:c>
      <x:c r="G7" s="12" t="n">
        <x:v>11</x:v>
      </x:c>
      <x:c r="H7" s="12" t="n">
        <x:f>SUM(F7:G7)</x:f>
        <x:v>39</x:v>
      </x:c>
      <x:c r="I7" s="12" t="n">
        <x:v>327</x:v>
      </x:c>
      <x:c r="J7" s="12" t="n">
        <x:v>31</x:v>
      </x:c>
      <x:c r="K7" s="12" t="n">
        <x:f>SUM(I7:J7)</x:f>
        <x:v>358</x:v>
      </x:c>
    </x:row>
    <x:row r="8">
      <x:c r="A8" s="11" t="str">
        <x:v>Aug 2025</x:v>
      </x:c>
      <x:c r="B8" s="12" t="n">
        <x:v>2</x:v>
      </x:c>
      <x:c r="C8" s="12" t="n">
        <x:v>3</x:v>
      </x:c>
      <x:c r="D8" s="12" t="n">
        <x:v>13</x:v>
      </x:c>
      <x:c r="E8" s="12" t="n">
        <x:f>SUM(B8:D8)</x:f>
        <x:v>18</x:v>
      </x:c>
      <x:c r="F8" s="12" t="n">
        <x:v>36</x:v>
      </x:c>
      <x:c r="G8" s="12" t="n">
        <x:v>12</x:v>
      </x:c>
      <x:c r="H8" s="12" t="n">
        <x:f>SUM(F8:G8)</x:f>
        <x:v>48</x:v>
      </x:c>
      <x:c r="I8" s="12" t="n">
        <x:v>281</x:v>
      </x:c>
      <x:c r="J8" s="12" t="n">
        <x:v>38</x:v>
      </x:c>
      <x:c r="K8" s="12" t="n">
        <x:f>SUM(I8:J8)</x:f>
        <x:v>319</x:v>
      </x:c>
    </x:row>
    <x:row r="9">
      <x:c r="A9" s="11" t="str">
        <x:v>Sep 2025</x:v>
      </x:c>
      <x:c r="B9" s="12" t="n">
        <x:v>10</x:v>
      </x:c>
      <x:c r="C9" s="12" t="n">
        <x:v>4</x:v>
      </x:c>
      <x:c r="D9" s="12" t="n">
        <x:v>29</x:v>
      </x:c>
      <x:c r="E9" s="12" t="n">
        <x:f>SUM(B9:D9)</x:f>
        <x:v>43</x:v>
      </x:c>
      <x:c r="F9" s="12" t="n">
        <x:v>29</x:v>
      </x:c>
      <x:c r="G9" s="12" t="n">
        <x:v>8</x:v>
      </x:c>
      <x:c r="H9" s="12" t="n">
        <x:f>SUM(F9:G9)</x:f>
        <x:v>37</x:v>
      </x:c>
      <x:c r="I9" s="12" t="n">
        <x:v>250</x:v>
      </x:c>
      <x:c r="J9" s="12" t="n">
        <x:v>25</x:v>
      </x:c>
      <x:c r="K9" s="12" t="n">
        <x:f>SUM(I9:J9)</x:f>
        <x:v>275</x:v>
      </x:c>
    </x:row>
    <x:row r="10">
      <x:c r="A10" s="11" t="str">
        <x:v>Oct 2025</x:v>
      </x:c>
      <x:c r="B10" s="12" t="n">
        <x:v>8</x:v>
      </x:c>
      <x:c r="C10" s="12" t="n">
        <x:v>3</x:v>
      </x:c>
      <x:c r="D10" s="12" t="n">
        <x:v>22</x:v>
      </x:c>
      <x:c r="E10" s="12" t="n">
        <x:f>SUM(B10:D10)</x:f>
        <x:v>33</x:v>
      </x:c>
      <x:c r="F10" s="12" t="n">
        <x:v>27</x:v>
      </x:c>
      <x:c r="G10" s="12" t="n">
        <x:v>7</x:v>
      </x:c>
      <x:c r="H10" s="12" t="n">
        <x:f>SUM(F10:G10)</x:f>
        <x:v>34</x:v>
      </x:c>
      <x:c r="I10" s="12" t="n">
        <x:v>304</x:v>
      </x:c>
      <x:c r="J10" s="12" t="n">
        <x:v>33</x:v>
      </x:c>
      <x:c r="K10" s="12" t="n">
        <x:f>SUM(I10:J10)</x:f>
        <x:v>337</x:v>
      </x:c>
    </x:row>
    <x:row r="11">
      <x:c r="A11" s="11" t="str">
        <x:v>Nov 2025</x:v>
      </x:c>
      <x:c r="B11" s="12" t="n">
        <x:v>4</x:v>
      </x:c>
      <x:c r="C11" s="12" t="n">
        <x:v>4</x:v>
      </x:c>
      <x:c r="D11" s="12" t="n">
        <x:v>12</x:v>
      </x:c>
      <x:c r="E11" s="12" t="n">
        <x:f>SUM(B11:D11)</x:f>
        <x:v>20</x:v>
      </x:c>
      <x:c r="F11" s="12" t="n">
        <x:v>29</x:v>
      </x:c>
      <x:c r="G11" s="12" t="n">
        <x:v>9</x:v>
      </x:c>
      <x:c r="H11" s="12" t="n">
        <x:f>SUM(F11:G11)</x:f>
        <x:v>38</x:v>
      </x:c>
      <x:c r="I11" s="12" t="n">
        <x:v>276</x:v>
      </x:c>
      <x:c r="J11" s="12" t="n">
        <x:v>24</x:v>
      </x:c>
      <x:c r="K11" s="12" t="n">
        <x:f>SUM(I11:J11)</x:f>
        <x:v>300</x:v>
      </x:c>
    </x:row>
    <x:row r="12">
      <x:c r="A12" s="11" t="str">
        <x:v>Dec 2025</x:v>
      </x:c>
      <x:c r="B12" s="12" t="n">
        <x:v>0</x:v>
      </x:c>
      <x:c r="C12" s="12" t="n">
        <x:v>6</x:v>
      </x:c>
      <x:c r="D12" s="12" t="n">
        <x:v>12</x:v>
      </x:c>
      <x:c r="E12" s="12" t="n">
        <x:f>SUM(B12:D12)</x:f>
        <x:v>18</x:v>
      </x:c>
      <x:c r="F12" s="12" t="n">
        <x:v>21</x:v>
      </x:c>
      <x:c r="G12" s="12" t="n">
        <x:v>5</x:v>
      </x:c>
      <x:c r="H12" s="12" t="n">
        <x:f>SUM(F12:G12)</x:f>
        <x:v>26</x:v>
      </x:c>
      <x:c r="I12" s="12" t="n">
        <x:v>283</x:v>
      </x:c>
      <x:c r="J12" s="12" t="n">
        <x:v>24</x:v>
      </x:c>
      <x:c r="K12" s="12" t="n">
        <x:f>SUM(I12:J12)</x:f>
        <x:v>307</x:v>
      </x:c>
    </x:row>
    <x:row r="13">
      <x:c r="A13" s="11" t="str">
        <x:v>Jan 2026</x:v>
      </x:c>
      <x:c r="B13" s="12" t="n">
        <x:v>8</x:v>
      </x:c>
      <x:c r="C13" s="12" t="n">
        <x:v>4</x:v>
      </x:c>
      <x:c r="D13" s="12" t="n">
        <x:v>14</x:v>
      </x:c>
      <x:c r="E13" s="12" t="n">
        <x:f>SUM(B13:D13)</x:f>
        <x:v>26</x:v>
      </x:c>
      <x:c r="F13" s="12" t="n">
        <x:v>29</x:v>
      </x:c>
      <x:c r="G13" s="12" t="n">
        <x:v>9</x:v>
      </x:c>
      <x:c r="H13" s="12" t="n">
        <x:f>SUM(F13:G13)</x:f>
        <x:v>38</x:v>
      </x:c>
      <x:c r="I13" s="12" t="n">
        <x:v>236</x:v>
      </x:c>
      <x:c r="J13" s="12" t="n">
        <x:v>35</x:v>
      </x:c>
      <x:c r="K13" s="12" t="n">
        <x:f>SUM(I13:J13)</x:f>
        <x:v>271</x:v>
      </x:c>
    </x:row>
    <x:row r="14">
      <x:c r="A14" s="11" t="str">
        <x:v>Feb 2026</x:v>
      </x:c>
      <x:c r="B14" s="12" t="n">
        <x:v>5</x:v>
      </x:c>
      <x:c r="C14" s="12" t="n">
        <x:v>6</x:v>
      </x:c>
      <x:c r="D14" s="12" t="n">
        <x:v>20</x:v>
      </x:c>
      <x:c r="E14" s="12" t="n">
        <x:f>SUM(B14:D14)</x:f>
        <x:v>31</x:v>
      </x:c>
      <x:c r="F14" s="12" t="n">
        <x:v>19</x:v>
      </x:c>
      <x:c r="G14" s="12" t="n">
        <x:v>3</x:v>
      </x:c>
      <x:c r="H14" s="12" t="n">
        <x:f>SUM(F14:G14)</x:f>
        <x:v>22</x:v>
      </x:c>
      <x:c r="I14" s="12" t="n">
        <x:v>267</x:v>
      </x:c>
      <x:c r="J14" s="12" t="n">
        <x:v>17</x:v>
      </x:c>
      <x:c r="K14" s="12" t="n">
        <x:f>SUM(I14:J14)</x:f>
        <x:v>284</x:v>
      </x:c>
    </x:row>
    <x:row r="15">
      <x:c r="A15" s="11" t="str">
        <x:v>Mar 2026</x:v>
      </x:c>
      <x:c r="B15" s="12" t="n">
        <x:v>8</x:v>
      </x:c>
      <x:c r="C15" s="12" t="n">
        <x:v>10</x:v>
      </x:c>
      <x:c r="D15" s="12" t="n">
        <x:v>21</x:v>
      </x:c>
      <x:c r="E15" s="12" t="n">
        <x:f>SUM(B15:D15)</x:f>
        <x:v>39</x:v>
      </x:c>
      <x:c r="F15" s="12" t="n">
        <x:v>29</x:v>
      </x:c>
      <x:c r="G15" s="12" t="n">
        <x:v>5</x:v>
      </x:c>
      <x:c r="H15" s="12" t="n">
        <x:f>SUM(F15:G15)</x:f>
        <x:v>34</x:v>
      </x:c>
      <x:c r="I15" s="12" t="n">
        <x:v>319</x:v>
      </x:c>
      <x:c r="J15" s="12" t="n">
        <x:v>37</x:v>
      </x:c>
      <x:c r="K15" s="12" t="n">
        <x:f>SUM(I15:J15)</x:f>
        <x:v>356</x:v>
      </x:c>
    </x:row>
    <x:row r="16">
      <x:c r="A16" s="11" t="str">
        <x:v>Apr 2026</x:v>
      </x:c>
      <x:c r="B16" s="12" t="n">
        <x:v>4</x:v>
      </x:c>
      <x:c r="C16" s="12" t="n">
        <x:v>4</x:v>
      </x:c>
      <x:c r="D16" s="12" t="n">
        <x:v>21</x:v>
      </x:c>
      <x:c r="E16" s="12" t="n">
        <x:f>SUM(B16:D16)</x:f>
        <x:v>29</x:v>
      </x:c>
      <x:c r="F16" s="12" t="n">
        <x:v>27</x:v>
      </x:c>
      <x:c r="G16" s="12" t="n">
        <x:v>5</x:v>
      </x:c>
      <x:c r="H16" s="12" t="n">
        <x:f>SUM(F16:G16)</x:f>
        <x:v>32</x:v>
      </x:c>
      <x:c r="I16" s="12" t="n">
        <x:v>305</x:v>
      </x:c>
      <x:c r="J16" s="12" t="n">
        <x:v>35</x:v>
      </x:c>
      <x:c r="K16" s="12" t="n">
        <x:f>SUM(I16:J16)</x:f>
        <x:v>340</x:v>
      </x:c>
    </x:row>
    <x:row r="17">
      <x:c r="A17" s="16" t="str">
        <x:v>Year Total</x:v>
      </x:c>
      <x:c r="B17" s="17" t="n">
        <x:f>SUM(B5:B16)</x:f>
        <x:v>59</x:v>
      </x:c>
      <x:c r="C17" s="17" t="n">
        <x:f>SUM(C5:C16)</x:f>
        <x:v>52</x:v>
      </x:c>
      <x:c r="D17" s="17" t="n">
        <x:f>SUM(D5:D16)</x:f>
        <x:v>218</x:v>
      </x:c>
      <x:c r="E17" s="17" t="n">
        <x:f>SUM(E5:E16)</x:f>
        <x:v>329</x:v>
      </x:c>
      <x:c r="F17" s="17" t="n">
        <x:f>SUM(F5:F16)</x:f>
        <x:v>323</x:v>
      </x:c>
      <x:c r="G17" s="17" t="n">
        <x:f>SUM(G5:G16)</x:f>
        <x:v>84</x:v>
      </x:c>
      <x:c r="H17" s="17" t="n">
        <x:f>SUM(H5:H16)</x:f>
        <x:v>407</x:v>
      </x:c>
      <x:c r="I17" s="17" t="n">
        <x:f>SUM(I5:I16)</x:f>
        <x:v>3437</x:v>
      </x:c>
      <x:c r="J17" s="17" t="n">
        <x:f>SUM(J5:J16)</x:f>
        <x:v>355</x:v>
      </x:c>
      <x:c r="K17" s="17" t="n">
        <x:f>SUM(K5:K16)</x:f>
        <x:v>3792</x:v>
      </x:c>
    </x:row>
    <x:row r="20" ht="15" hidden="0" customHeight="1">
      <x:c r="A20" s="2" t="str">
        <x:v>Metric</x:v>
      </x:c>
      <x:c r="B20" s="2" t="str">
        <x:v>Annual Total</x:v>
      </x:c>
      <x:c r="C20" s="2" t="str">
        <x:v>Notes</x:v>
      </x:c>
      <x:c r="D20" s="2"/>
      <x:c r="E20" s="2"/>
      <x:c r="F20" s="2"/>
      <x:c r="G20" s="2"/>
      <x:c r="H20" s="2"/>
      <x:c r="I20" s="2"/>
      <x:c r="J20" s="2"/>
      <x:c r="K20" s="2"/>
    </x:row>
    <x:row r="21" ht="15" hidden="0" customHeight="1">
      <x:c r="A21" s="18" t="str">
        <x:v>Periodontal codes</x:v>
      </x:c>
      <x:c r="B21" s="19" t="n">
        <x:v>329</x:v>
      </x:c>
      <x:c r="C21" s="18" t="str">
        <x:v>D4341 + D4342 + D4910</x:v>
      </x:c>
      <x:c r="D21" s="18"/>
      <x:c r="E21" s="18"/>
      <x:c r="F21" s="18"/>
      <x:c r="G21" s="18"/>
      <x:c r="H21" s="18"/>
      <x:c r="I21" s="18"/>
      <x:c r="J21" s="18"/>
      <x:c r="K21" s="18"/>
    </x:row>
    <x:row r="22" ht="15" hidden="0" customHeight="1">
      <x:c r="A22" s="18" t="str">
        <x:v>D0150 over 18</x:v>
      </x:c>
      <x:c r="B22" s="19" t="n">
        <x:v>323</x:v>
      </x:c>
      <x:c r="C22" s="18" t="str">
        <x:v>Patients age 18+ on ProcDate</x:v>
      </x:c>
      <x:c r="D22" s="18"/>
      <x:c r="E22" s="18"/>
      <x:c r="F22" s="18"/>
      <x:c r="G22" s="18"/>
      <x:c r="H22" s="18"/>
      <x:c r="I22" s="18"/>
      <x:c r="J22" s="18"/>
      <x:c r="K22" s="18"/>
    </x:row>
    <x:row r="23" ht="15" hidden="0" customHeight="1">
      <x:c r="A23" s="18" t="str">
        <x:v>D0150 under 18</x:v>
      </x:c>
      <x:c r="B23" s="19" t="n">
        <x:v>84</x:v>
      </x:c>
      <x:c r="C23" s="18" t="str">
        <x:v>Patients under 18 on ProcDate</x:v>
      </x:c>
      <x:c r="D23" s="18"/>
      <x:c r="E23" s="18"/>
      <x:c r="F23" s="18"/>
      <x:c r="G23" s="18"/>
      <x:c r="H23" s="18"/>
      <x:c r="I23" s="18"/>
      <x:c r="J23" s="18"/>
      <x:c r="K23" s="18"/>
    </x:row>
    <x:row r="24" ht="15" hidden="0" customHeight="1">
      <x:c r="A24" s="18" t="str">
        <x:v>D0150 total</x:v>
      </x:c>
      <x:c r="B24" s="19" t="n">
        <x:v>407</x:v>
      </x:c>
      <x:c r="C24" s="18" t="str">
        <x:v>Over 18 + under 18</x:v>
      </x:c>
      <x:c r="D24" s="18"/>
      <x:c r="E24" s="18"/>
      <x:c r="F24" s="18"/>
      <x:c r="G24" s="18"/>
      <x:c r="H24" s="18"/>
      <x:c r="I24" s="18"/>
      <x:c r="J24" s="18"/>
      <x:c r="K24" s="18"/>
    </x:row>
    <x:row r="25" ht="15" hidden="0" customHeight="1">
      <x:c r="A25" s="18" t="str">
        <x:v>Adult prophy</x:v>
      </x:c>
      <x:c r="B25" s="19" t="n">
        <x:v>3437</x:v>
      </x:c>
      <x:c r="C25" s="18" t="str">
        <x:v>D1110</x:v>
      </x:c>
      <x:c r="D25" s="18"/>
      <x:c r="E25" s="18"/>
      <x:c r="F25" s="18"/>
      <x:c r="G25" s="18"/>
      <x:c r="H25" s="18"/>
      <x:c r="I25" s="18"/>
      <x:c r="J25" s="18"/>
      <x:c r="K25" s="18"/>
    </x:row>
    <x:row r="26" ht="15" hidden="0" customHeight="1">
      <x:c r="A26" s="18" t="str">
        <x:v>Child prophy</x:v>
      </x:c>
      <x:c r="B26" s="19" t="n">
        <x:v>355</x:v>
      </x:c>
      <x:c r="C26" s="18" t="str">
        <x:v>D1120</x:v>
      </x:c>
      <x:c r="D26" s="18"/>
      <x:c r="E26" s="18"/>
      <x:c r="F26" s="18"/>
      <x:c r="G26" s="18"/>
      <x:c r="H26" s="18"/>
      <x:c r="I26" s="18"/>
      <x:c r="J26" s="18"/>
      <x:c r="K26" s="18"/>
    </x:row>
  </x:sheetData>
  <x:mergeCells>
    <x:mergeCell ref="A1:K1"/>
    <x:mergeCell ref="A2:K2"/>
    <x:mergeCell ref="C20:K20"/>
    <x:mergeCell ref="C21:K21"/>
    <x:mergeCell ref="C22:K22"/>
    <x:mergeCell ref="C23:K23"/>
    <x:mergeCell ref="C24:K24"/>
    <x:mergeCell ref="C25:K25"/>
    <x:mergeCell ref="C26:K26"/>
  </x:mergeCells>
  <x:pageMargins left="0.7" right="0.7" top="0.75" bottom="0.75" header="0.3" footer="0.3"/>
  <x:tableParts count="1">
    <x:tablePart xmlns:r="http://schemas.openxmlformats.org/officeDocument/2006/relationships" r:id="Re7877da1c6a341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16.290000915527344" hidden="0" customWidth="1"/>
    <x:col min="3" max="3" width="16.290000915527344" hidden="0" customWidth="1"/>
    <x:col min="4" max="4" width="16.290000915527344" hidden="0" customWidth="1"/>
    <x:col min="5" max="5" width="16.290000915527344" hidden="0" customWidth="1"/>
    <x:col min="6" max="6" width="2.0199999809265137" hidden="0" customWidth="1"/>
    <x:col min="7" max="7" width="15.479999542236328" hidden="0" customWidth="1"/>
    <x:col min="8" max="8" width="15.479999542236328" hidden="0" customWidth="1"/>
    <x:col min="9" max="9" width="15.479999542236328" hidden="0" customWidth="1"/>
    <x:col min="10" max="10" width="15.479999542236328" hidden="0" customWidth="1"/>
  </x:cols>
  <x:sheetData>
    <x:row r="1" ht="25.5" customHeight="1">
      <x:c r="A1" s="4" t="str">
        <x:v>Monthly Trend Snapshot</x:v>
      </x:c>
      <x:c r="B1" s="4" t="str">
        <x:v>Monthly Trend Snapshot</x:v>
      </x:c>
      <x:c r="C1" s="4" t="str">
        <x:v>Monthly Trend Snapshot</x:v>
      </x:c>
      <x:c r="D1" s="4" t="str">
        <x:v>Monthly Trend Snapshot</x:v>
      </x:c>
      <x:c r="E1" s="4" t="str">
        <x:v>Monthly Trend Snapshot</x:v>
      </x:c>
    </x:row>
    <x:row r="2" ht="18" customHeight="1">
      <x:c r="A2" s="8" t="str">
        <x:v>Periodontal total, D0150 age split, and prophy total by month</x:v>
      </x:c>
    </x:row>
    <x:row r="4" ht="31.5" customHeight="1">
      <x:c r="A4" s="13" t="str">
        <x:v>Month</x:v>
      </x:c>
      <x:c r="B4" s="13" t="str">
        <x:v>Periodontal Total</x:v>
      </x:c>
      <x:c r="C4" s="13" t="str">
        <x:v>D0150 Over 18</x:v>
      </x:c>
      <x:c r="D4" s="13" t="str">
        <x:v>D0150 Under 18</x:v>
      </x:c>
      <x:c r="E4" s="13" t="str">
        <x:v>Prophy Total</x:v>
      </x:c>
    </x:row>
    <x:row r="5">
      <x:c r="A5" t="str">
        <x:v>May 2025</x:v>
      </x:c>
      <x:c r="B5" s="9" t="n">
        <x:v>22</x:v>
      </x:c>
      <x:c r="C5" s="9" t="n">
        <x:v>23</x:v>
      </x:c>
      <x:c r="D5" s="9" t="n">
        <x:v>6</x:v>
      </x:c>
      <x:c r="E5" s="9" t="n">
        <x:v>321</x:v>
      </x:c>
    </x:row>
    <x:row r="6">
      <x:c r="A6" t="str">
        <x:v>Jun 2025</x:v>
      </x:c>
      <x:c r="B6" s="9" t="n">
        <x:v>23</x:v>
      </x:c>
      <x:c r="C6" s="9" t="n">
        <x:v>26</x:v>
      </x:c>
      <x:c r="D6" s="9" t="n">
        <x:v>4</x:v>
      </x:c>
      <x:c r="E6" s="9" t="n">
        <x:v>324</x:v>
      </x:c>
    </x:row>
    <x:row r="7">
      <x:c r="A7" t="str">
        <x:v>Jul 2025</x:v>
      </x:c>
      <x:c r="B7" s="9" t="n">
        <x:v>27</x:v>
      </x:c>
      <x:c r="C7" s="9" t="n">
        <x:v>28</x:v>
      </x:c>
      <x:c r="D7" s="9" t="n">
        <x:v>11</x:v>
      </x:c>
      <x:c r="E7" s="9" t="n">
        <x:v>358</x:v>
      </x:c>
    </x:row>
    <x:row r="8">
      <x:c r="A8" t="str">
        <x:v>Aug 2025</x:v>
      </x:c>
      <x:c r="B8" s="9" t="n">
        <x:v>18</x:v>
      </x:c>
      <x:c r="C8" s="9" t="n">
        <x:v>36</x:v>
      </x:c>
      <x:c r="D8" s="9" t="n">
        <x:v>12</x:v>
      </x:c>
      <x:c r="E8" s="9" t="n">
        <x:v>319</x:v>
      </x:c>
    </x:row>
    <x:row r="9">
      <x:c r="A9" t="str">
        <x:v>Sep 2025</x:v>
      </x:c>
      <x:c r="B9" s="9" t="n">
        <x:v>43</x:v>
      </x:c>
      <x:c r="C9" s="9" t="n">
        <x:v>29</x:v>
      </x:c>
      <x:c r="D9" s="9" t="n">
        <x:v>8</x:v>
      </x:c>
      <x:c r="E9" s="9" t="n">
        <x:v>275</x:v>
      </x:c>
    </x:row>
    <x:row r="10">
      <x:c r="A10" t="str">
        <x:v>Oct 2025</x:v>
      </x:c>
      <x:c r="B10" s="9" t="n">
        <x:v>33</x:v>
      </x:c>
      <x:c r="C10" s="9" t="n">
        <x:v>27</x:v>
      </x:c>
      <x:c r="D10" s="9" t="n">
        <x:v>7</x:v>
      </x:c>
      <x:c r="E10" s="9" t="n">
        <x:v>337</x:v>
      </x:c>
    </x:row>
    <x:row r="11">
      <x:c r="A11" t="str">
        <x:v>Nov 2025</x:v>
      </x:c>
      <x:c r="B11" s="9" t="n">
        <x:v>20</x:v>
      </x:c>
      <x:c r="C11" s="9" t="n">
        <x:v>29</x:v>
      </x:c>
      <x:c r="D11" s="9" t="n">
        <x:v>9</x:v>
      </x:c>
      <x:c r="E11" s="9" t="n">
        <x:v>300</x:v>
      </x:c>
    </x:row>
    <x:row r="12">
      <x:c r="A12" t="str">
        <x:v>Dec 2025</x:v>
      </x:c>
      <x:c r="B12" s="9" t="n">
        <x:v>18</x:v>
      </x:c>
      <x:c r="C12" s="9" t="n">
        <x:v>21</x:v>
      </x:c>
      <x:c r="D12" s="9" t="n">
        <x:v>5</x:v>
      </x:c>
      <x:c r="E12" s="9" t="n">
        <x:v>307</x:v>
      </x:c>
    </x:row>
    <x:row r="13">
      <x:c r="A13" t="str">
        <x:v>Jan 2026</x:v>
      </x:c>
      <x:c r="B13" s="9" t="n">
        <x:v>26</x:v>
      </x:c>
      <x:c r="C13" s="9" t="n">
        <x:v>29</x:v>
      </x:c>
      <x:c r="D13" s="9" t="n">
        <x:v>9</x:v>
      </x:c>
      <x:c r="E13" s="9" t="n">
        <x:v>271</x:v>
      </x:c>
    </x:row>
    <x:row r="14">
      <x:c r="A14" t="str">
        <x:v>Feb 2026</x:v>
      </x:c>
      <x:c r="B14" s="9" t="n">
        <x:v>31</x:v>
      </x:c>
      <x:c r="C14" s="9" t="n">
        <x:v>19</x:v>
      </x:c>
      <x:c r="D14" s="9" t="n">
        <x:v>3</x:v>
      </x:c>
      <x:c r="E14" s="9" t="n">
        <x:v>284</x:v>
      </x:c>
    </x:row>
    <x:row r="15">
      <x:c r="A15" t="str">
        <x:v>Mar 2026</x:v>
      </x:c>
      <x:c r="B15" s="9" t="n">
        <x:v>39</x:v>
      </x:c>
      <x:c r="C15" s="9" t="n">
        <x:v>29</x:v>
      </x:c>
      <x:c r="D15" s="9" t="n">
        <x:v>5</x:v>
      </x:c>
      <x:c r="E15" s="9" t="n">
        <x:v>356</x:v>
      </x:c>
    </x:row>
    <x:row r="16">
      <x:c r="A16" t="str">
        <x:v>Apr 2026</x:v>
      </x:c>
      <x:c r="B16" s="9" t="n">
        <x:v>29</x:v>
      </x:c>
      <x:c r="C16" s="9" t="n">
        <x:v>27</x:v>
      </x:c>
      <x:c r="D16" s="9" t="n">
        <x:v>5</x:v>
      </x:c>
      <x:c r="E16" s="9" t="n">
        <x:v>340</x:v>
      </x:c>
    </x:row>
    <x:row r="17">
      <x:c r="A17" s="16" t="str">
        <x:v>Year Total</x:v>
      </x:c>
      <x:c r="B17" s="17" t="n">
        <x:v>329</x:v>
      </x:c>
      <x:c r="C17" s="17" t="n">
        <x:v>323</x:v>
      </x:c>
      <x:c r="D17" s="17" t="n">
        <x:v>84</x:v>
      </x:c>
      <x:c r="E17" s="17" t="n">
        <x:v>3792</x:v>
      </x:c>
    </x:row>
  </x:sheetData>
  <x:mergeCells>
    <x:mergeCell ref="A1:E1"/>
    <x:mergeCell ref="A2:E2"/>
  </x:mergeCells>
  <x:pageMargins left="0.7" right="0.7" top="0.75" bottom="0.75" header="0.3" footer="0.3"/>
  <x:drawing xmlns:r="http://schemas.openxmlformats.org/officeDocument/2006/relationships" r:id="R5705f009d0db47a1"/>
  <x:tableParts count="1">
    <x:tablePart xmlns:r="http://schemas.openxmlformats.org/officeDocument/2006/relationships" r:id="Rad602da388b340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979999542236328" hidden="0" customWidth="1"/>
    <x:col min="2" max="2" width="11.710000038146973" hidden="0" customWidth="1"/>
    <x:col min="3" max="3" width="8.75" hidden="0" customWidth="1"/>
    <x:col min="4" max="4" width="8.75" hidden="0" customWidth="1"/>
    <x:col min="5" max="5" width="8.75" hidden="0" customWidth="1"/>
    <x:col min="6" max="6" width="11.710000038146973" hidden="0" customWidth="1"/>
    <x:col min="7" max="7" width="14.130000114440918" hidden="0" customWidth="1"/>
    <x:col min="8" max="8" width="13.319999694824219" hidden="0" customWidth="1"/>
    <x:col min="9" max="9" width="13.319999694824219" hidden="0" customWidth="1"/>
    <x:col min="10" max="10" width="13.319999694824219" hidden="0" customWidth="1"/>
    <x:col min="11" max="11" width="11.710000038146973" hidden="0" customWidth="1"/>
    <x:col min="12" max="12" width="14.130000114440918" hidden="0" customWidth="1"/>
  </x:cols>
  <x:sheetData>
    <x:row r="1" ht="25.5" customHeight="1">
      <x:c r="A1" s="4" t="str">
        <x:v>Source Aggregate Data</x:v>
      </x:c>
      <x:c r="B1" s="4" t="str">
        <x:v>Source Aggregate Data</x:v>
      </x:c>
      <x:c r="C1" s="4" t="str">
        <x:v>Source Aggregate Data</x:v>
      </x:c>
      <x:c r="D1" s="4" t="str">
        <x:v>Source Aggregate Data</x:v>
      </x:c>
      <x:c r="E1" s="4" t="str">
        <x:v>Source Aggregate Data</x:v>
      </x:c>
      <x:c r="F1" s="4" t="str">
        <x:v>Source Aggregate Data</x:v>
      </x:c>
      <x:c r="G1" s="4" t="str">
        <x:v>Source Aggregate Data</x:v>
      </x:c>
      <x:c r="H1" s="4" t="str">
        <x:v>Source Aggregate Data</x:v>
      </x:c>
      <x:c r="I1" s="4" t="str">
        <x:v>Source Aggregate Data</x:v>
      </x:c>
      <x:c r="J1" s="4" t="str">
        <x:v>Source Aggregate Data</x:v>
      </x:c>
      <x:c r="K1" s="4" t="str">
        <x:v>Source Aggregate Data</x:v>
      </x:c>
      <x:c r="L1" s="4" t="str">
        <x:v>Source Aggregate Data</x:v>
      </x:c>
    </x:row>
    <x:row r="2" ht="18" customHeight="1">
      <x:c r="A2" s="8" t="str">
        <x:v>OpenDental Local API aggregate output; no patient names or procedure-level identifiers included</x:v>
      </x:c>
    </x:row>
    <x:row r="4" ht="31.5" customHeight="1">
      <x:c r="A4" s="13" t="str">
        <x:v>MonthStart</x:v>
      </x:c>
      <x:c r="B4" s="13" t="str">
        <x:v>Month</x:v>
      </x:c>
      <x:c r="C4" s="13" t="str">
        <x:v>D4341</x:v>
      </x:c>
      <x:c r="D4" s="13" t="str">
        <x:v>D4342</x:v>
      </x:c>
      <x:c r="E4" s="13" t="str">
        <x:v>D4910</x:v>
      </x:c>
      <x:c r="F4" s="13" t="str">
        <x:v>Perio Total</x:v>
      </x:c>
      <x:c r="G4" s="13" t="str">
        <x:v>D0150 Adult 18+</x:v>
      </x:c>
      <x:c r="H4" s="13" t="str">
        <x:v>D0150 Under 18</x:v>
      </x:c>
      <x:c r="I4" s="13" t="str">
        <x:v>D0150 All Ages</x:v>
      </x:c>
      <x:c r="J4" s="13" t="str">
        <x:v>D1110</x:v>
      </x:c>
      <x:c r="K4" s="13" t="str">
        <x:v>D1120</x:v>
      </x:c>
      <x:c r="L4" s="13" t="str">
        <x:v>Prophy Total</x:v>
      </x:c>
    </x:row>
    <x:row r="5">
      <x:c r="A5" s="21" t="str">
        <x:v>2025-05-01</x:v>
      </x:c>
      <x:c r="B5" t="str">
        <x:v>May 2025</x:v>
      </x:c>
      <x:c r="C5" s="9" t="n">
        <x:v>2</x:v>
      </x:c>
      <x:c r="D5" s="9" t="n">
        <x:v>0</x:v>
      </x:c>
      <x:c r="E5" s="9" t="n">
        <x:v>20</x:v>
      </x:c>
      <x:c r="F5" s="9" t="n">
        <x:v>22</x:v>
      </x:c>
      <x:c r="G5" s="9" t="n">
        <x:v>23</x:v>
      </x:c>
      <x:c r="H5" s="9" t="n">
        <x:v>6</x:v>
      </x:c>
      <x:c r="I5" s="9" t="n">
        <x:v>29</x:v>
      </x:c>
      <x:c r="J5" s="9" t="n">
        <x:v>299</x:v>
      </x:c>
      <x:c r="K5" s="9" t="n">
        <x:v>22</x:v>
      </x:c>
      <x:c r="L5" s="9" t="n">
        <x:v>321</x:v>
      </x:c>
    </x:row>
    <x:row r="6">
      <x:c r="A6" s="21" t="str">
        <x:v>2025-06-01</x:v>
      </x:c>
      <x:c r="B6" t="str">
        <x:v>Jun 2025</x:v>
      </x:c>
      <x:c r="C6" s="9" t="n">
        <x:v>2</x:v>
      </x:c>
      <x:c r="D6" s="9" t="n">
        <x:v>4</x:v>
      </x:c>
      <x:c r="E6" s="9" t="n">
        <x:v>17</x:v>
      </x:c>
      <x:c r="F6" s="9" t="n">
        <x:v>23</x:v>
      </x:c>
      <x:c r="G6" s="9" t="n">
        <x:v>26</x:v>
      </x:c>
      <x:c r="H6" s="9" t="n">
        <x:v>4</x:v>
      </x:c>
      <x:c r="I6" s="9" t="n">
        <x:v>30</x:v>
      </x:c>
      <x:c r="J6" s="9" t="n">
        <x:v>290</x:v>
      </x:c>
      <x:c r="K6" s="9" t="n">
        <x:v>34</x:v>
      </x:c>
      <x:c r="L6" s="9" t="n">
        <x:v>324</x:v>
      </x:c>
    </x:row>
    <x:row r="7">
      <x:c r="A7" s="21" t="str">
        <x:v>2025-07-01</x:v>
      </x:c>
      <x:c r="B7" t="str">
        <x:v>Jul 2025</x:v>
      </x:c>
      <x:c r="C7" s="9" t="n">
        <x:v>6</x:v>
      </x:c>
      <x:c r="D7" s="9" t="n">
        <x:v>4</x:v>
      </x:c>
      <x:c r="E7" s="9" t="n">
        <x:v>17</x:v>
      </x:c>
      <x:c r="F7" s="9" t="n">
        <x:v>27</x:v>
      </x:c>
      <x:c r="G7" s="9" t="n">
        <x:v>28</x:v>
      </x:c>
      <x:c r="H7" s="9" t="n">
        <x:v>11</x:v>
      </x:c>
      <x:c r="I7" s="9" t="n">
        <x:v>39</x:v>
      </x:c>
      <x:c r="J7" s="9" t="n">
        <x:v>327</x:v>
      </x:c>
      <x:c r="K7" s="9" t="n">
        <x:v>31</x:v>
      </x:c>
      <x:c r="L7" s="9" t="n">
        <x:v>358</x:v>
      </x:c>
    </x:row>
    <x:row r="8">
      <x:c r="A8" s="21" t="str">
        <x:v>2025-08-01</x:v>
      </x:c>
      <x:c r="B8" t="str">
        <x:v>Aug 2025</x:v>
      </x:c>
      <x:c r="C8" s="9" t="n">
        <x:v>2</x:v>
      </x:c>
      <x:c r="D8" s="9" t="n">
        <x:v>3</x:v>
      </x:c>
      <x:c r="E8" s="9" t="n">
        <x:v>13</x:v>
      </x:c>
      <x:c r="F8" s="9" t="n">
        <x:v>18</x:v>
      </x:c>
      <x:c r="G8" s="9" t="n">
        <x:v>36</x:v>
      </x:c>
      <x:c r="H8" s="9" t="n">
        <x:v>12</x:v>
      </x:c>
      <x:c r="I8" s="9" t="n">
        <x:v>48</x:v>
      </x:c>
      <x:c r="J8" s="9" t="n">
        <x:v>281</x:v>
      </x:c>
      <x:c r="K8" s="9" t="n">
        <x:v>38</x:v>
      </x:c>
      <x:c r="L8" s="9" t="n">
        <x:v>319</x:v>
      </x:c>
    </x:row>
    <x:row r="9">
      <x:c r="A9" s="21" t="str">
        <x:v>2025-09-01</x:v>
      </x:c>
      <x:c r="B9" t="str">
        <x:v>Sep 2025</x:v>
      </x:c>
      <x:c r="C9" s="9" t="n">
        <x:v>10</x:v>
      </x:c>
      <x:c r="D9" s="9" t="n">
        <x:v>4</x:v>
      </x:c>
      <x:c r="E9" s="9" t="n">
        <x:v>29</x:v>
      </x:c>
      <x:c r="F9" s="9" t="n">
        <x:v>43</x:v>
      </x:c>
      <x:c r="G9" s="9" t="n">
        <x:v>29</x:v>
      </x:c>
      <x:c r="H9" s="9" t="n">
        <x:v>8</x:v>
      </x:c>
      <x:c r="I9" s="9" t="n">
        <x:v>37</x:v>
      </x:c>
      <x:c r="J9" s="9" t="n">
        <x:v>250</x:v>
      </x:c>
      <x:c r="K9" s="9" t="n">
        <x:v>25</x:v>
      </x:c>
      <x:c r="L9" s="9" t="n">
        <x:v>275</x:v>
      </x:c>
    </x:row>
    <x:row r="10">
      <x:c r="A10" s="21" t="str">
        <x:v>2025-10-01</x:v>
      </x:c>
      <x:c r="B10" t="str">
        <x:v>Oct 2025</x:v>
      </x:c>
      <x:c r="C10" s="9" t="n">
        <x:v>8</x:v>
      </x:c>
      <x:c r="D10" s="9" t="n">
        <x:v>3</x:v>
      </x:c>
      <x:c r="E10" s="9" t="n">
        <x:v>22</x:v>
      </x:c>
      <x:c r="F10" s="9" t="n">
        <x:v>33</x:v>
      </x:c>
      <x:c r="G10" s="9" t="n">
        <x:v>27</x:v>
      </x:c>
      <x:c r="H10" s="9" t="n">
        <x:v>7</x:v>
      </x:c>
      <x:c r="I10" s="9" t="n">
        <x:v>34</x:v>
      </x:c>
      <x:c r="J10" s="9" t="n">
        <x:v>304</x:v>
      </x:c>
      <x:c r="K10" s="9" t="n">
        <x:v>33</x:v>
      </x:c>
      <x:c r="L10" s="9" t="n">
        <x:v>337</x:v>
      </x:c>
    </x:row>
    <x:row r="11">
      <x:c r="A11" s="21" t="str">
        <x:v>2025-11-01</x:v>
      </x:c>
      <x:c r="B11" t="str">
        <x:v>Nov 2025</x:v>
      </x:c>
      <x:c r="C11" s="9" t="n">
        <x:v>4</x:v>
      </x:c>
      <x:c r="D11" s="9" t="n">
        <x:v>4</x:v>
      </x:c>
      <x:c r="E11" s="9" t="n">
        <x:v>12</x:v>
      </x:c>
      <x:c r="F11" s="9" t="n">
        <x:v>20</x:v>
      </x:c>
      <x:c r="G11" s="9" t="n">
        <x:v>29</x:v>
      </x:c>
      <x:c r="H11" s="9" t="n">
        <x:v>9</x:v>
      </x:c>
      <x:c r="I11" s="9" t="n">
        <x:v>38</x:v>
      </x:c>
      <x:c r="J11" s="9" t="n">
        <x:v>276</x:v>
      </x:c>
      <x:c r="K11" s="9" t="n">
        <x:v>24</x:v>
      </x:c>
      <x:c r="L11" s="9" t="n">
        <x:v>300</x:v>
      </x:c>
    </x:row>
    <x:row r="12">
      <x:c r="A12" s="21" t="str">
        <x:v>2025-12-01</x:v>
      </x:c>
      <x:c r="B12" t="str">
        <x:v>Dec 2025</x:v>
      </x:c>
      <x:c r="C12" s="9" t="n">
        <x:v>0</x:v>
      </x:c>
      <x:c r="D12" s="9" t="n">
        <x:v>6</x:v>
      </x:c>
      <x:c r="E12" s="9" t="n">
        <x:v>12</x:v>
      </x:c>
      <x:c r="F12" s="9" t="n">
        <x:v>18</x:v>
      </x:c>
      <x:c r="G12" s="9" t="n">
        <x:v>21</x:v>
      </x:c>
      <x:c r="H12" s="9" t="n">
        <x:v>5</x:v>
      </x:c>
      <x:c r="I12" s="9" t="n">
        <x:v>26</x:v>
      </x:c>
      <x:c r="J12" s="9" t="n">
        <x:v>283</x:v>
      </x:c>
      <x:c r="K12" s="9" t="n">
        <x:v>24</x:v>
      </x:c>
      <x:c r="L12" s="9" t="n">
        <x:v>307</x:v>
      </x:c>
    </x:row>
    <x:row r="13">
      <x:c r="A13" s="21" t="str">
        <x:v>2026-01-01</x:v>
      </x:c>
      <x:c r="B13" t="str">
        <x:v>Jan 2026</x:v>
      </x:c>
      <x:c r="C13" s="9" t="n">
        <x:v>8</x:v>
      </x:c>
      <x:c r="D13" s="9" t="n">
        <x:v>4</x:v>
      </x:c>
      <x:c r="E13" s="9" t="n">
        <x:v>14</x:v>
      </x:c>
      <x:c r="F13" s="9" t="n">
        <x:v>26</x:v>
      </x:c>
      <x:c r="G13" s="9" t="n">
        <x:v>29</x:v>
      </x:c>
      <x:c r="H13" s="9" t="n">
        <x:v>9</x:v>
      </x:c>
      <x:c r="I13" s="9" t="n">
        <x:v>38</x:v>
      </x:c>
      <x:c r="J13" s="9" t="n">
        <x:v>236</x:v>
      </x:c>
      <x:c r="K13" s="9" t="n">
        <x:v>35</x:v>
      </x:c>
      <x:c r="L13" s="9" t="n">
        <x:v>271</x:v>
      </x:c>
    </x:row>
    <x:row r="14">
      <x:c r="A14" s="21" t="str">
        <x:v>2026-02-01</x:v>
      </x:c>
      <x:c r="B14" t="str">
        <x:v>Feb 2026</x:v>
      </x:c>
      <x:c r="C14" s="9" t="n">
        <x:v>5</x:v>
      </x:c>
      <x:c r="D14" s="9" t="n">
        <x:v>6</x:v>
      </x:c>
      <x:c r="E14" s="9" t="n">
        <x:v>20</x:v>
      </x:c>
      <x:c r="F14" s="9" t="n">
        <x:v>31</x:v>
      </x:c>
      <x:c r="G14" s="9" t="n">
        <x:v>19</x:v>
      </x:c>
      <x:c r="H14" s="9" t="n">
        <x:v>3</x:v>
      </x:c>
      <x:c r="I14" s="9" t="n">
        <x:v>22</x:v>
      </x:c>
      <x:c r="J14" s="9" t="n">
        <x:v>267</x:v>
      </x:c>
      <x:c r="K14" s="9" t="n">
        <x:v>17</x:v>
      </x:c>
      <x:c r="L14" s="9" t="n">
        <x:v>284</x:v>
      </x:c>
    </x:row>
    <x:row r="15">
      <x:c r="A15" s="21" t="str">
        <x:v>2026-03-01</x:v>
      </x:c>
      <x:c r="B15" t="str">
        <x:v>Mar 2026</x:v>
      </x:c>
      <x:c r="C15" s="9" t="n">
        <x:v>8</x:v>
      </x:c>
      <x:c r="D15" s="9" t="n">
        <x:v>10</x:v>
      </x:c>
      <x:c r="E15" s="9" t="n">
        <x:v>21</x:v>
      </x:c>
      <x:c r="F15" s="9" t="n">
        <x:v>39</x:v>
      </x:c>
      <x:c r="G15" s="9" t="n">
        <x:v>29</x:v>
      </x:c>
      <x:c r="H15" s="9" t="n">
        <x:v>5</x:v>
      </x:c>
      <x:c r="I15" s="9" t="n">
        <x:v>34</x:v>
      </x:c>
      <x:c r="J15" s="9" t="n">
        <x:v>319</x:v>
      </x:c>
      <x:c r="K15" s="9" t="n">
        <x:v>37</x:v>
      </x:c>
      <x:c r="L15" s="9" t="n">
        <x:v>356</x:v>
      </x:c>
    </x:row>
    <x:row r="16">
      <x:c r="A16" s="21" t="str">
        <x:v>2026-04-01</x:v>
      </x:c>
      <x:c r="B16" t="str">
        <x:v>Apr 2026</x:v>
      </x:c>
      <x:c r="C16" s="9" t="n">
        <x:v>4</x:v>
      </x:c>
      <x:c r="D16" s="9" t="n">
        <x:v>4</x:v>
      </x:c>
      <x:c r="E16" s="9" t="n">
        <x:v>21</x:v>
      </x:c>
      <x:c r="F16" s="9" t="n">
        <x:v>29</x:v>
      </x:c>
      <x:c r="G16" s="9" t="n">
        <x:v>27</x:v>
      </x:c>
      <x:c r="H16" s="9" t="n">
        <x:v>5</x:v>
      </x:c>
      <x:c r="I16" s="9" t="n">
        <x:v>32</x:v>
      </x:c>
      <x:c r="J16" s="9" t="n">
        <x:v>305</x:v>
      </x:c>
      <x:c r="K16" s="9" t="n">
        <x:v>35</x:v>
      </x:c>
      <x:c r="L16" s="9" t="n">
        <x:v>340</x:v>
      </x:c>
    </x:row>
    <x:row r="17">
      <x:c r="A17" s="16" t="str">
        <x:v>Year Total</x:v>
      </x:c>
      <x:c r="B17" s="16" t="str"/>
      <x:c r="C17" s="17" t="n">
        <x:f>SUM(C5:C16)</x:f>
        <x:v>59</x:v>
      </x:c>
      <x:c r="D17" s="17" t="n">
        <x:f>SUM(D5:D16)</x:f>
        <x:v>52</x:v>
      </x:c>
      <x:c r="E17" s="17" t="n">
        <x:f>SUM(E5:E16)</x:f>
        <x:v>218</x:v>
      </x:c>
      <x:c r="F17" s="17" t="n">
        <x:f>SUM(F5:F16)</x:f>
        <x:v>329</x:v>
      </x:c>
      <x:c r="G17" s="17" t="n">
        <x:f>SUM(G5:G16)</x:f>
        <x:v>323</x:v>
      </x:c>
      <x:c r="H17" s="17" t="n">
        <x:f>SUM(H5:H16)</x:f>
        <x:v>84</x:v>
      </x:c>
      <x:c r="I17" s="17" t="n">
        <x:f>SUM(I5:I16)</x:f>
        <x:v>407</x:v>
      </x:c>
      <x:c r="J17" s="17" t="n">
        <x:f>SUM(J5:J16)</x:f>
        <x:v>3437</x:v>
      </x:c>
      <x:c r="K17" s="17" t="n">
        <x:f>SUM(K5:K16)</x:f>
        <x:v>355</x:v>
      </x:c>
      <x:c r="L17" s="17" t="n">
        <x:f>SUM(L5:L16)</x:f>
        <x:v>3792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4d5b1a390bd49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90.8499984741211" hidden="0" customWidth="1"/>
    <x:col min="3" max="3" width="15.479999542236328" hidden="0" customWidth="1"/>
    <x:col min="4" max="4" width="15.479999542236328" hidden="0" customWidth="1"/>
  </x:cols>
  <x:sheetData>
    <x:row r="1" ht="25.5" customHeight="1">
      <x:c r="A1" s="4" t="str">
        <x:v>Method Notes</x:v>
      </x:c>
      <x:c r="B1" s="4" t="str">
        <x:v>Method Notes</x:v>
      </x:c>
      <x:c r="C1" s="4" t="str">
        <x:v>Method Notes</x:v>
      </x:c>
      <x:c r="D1" s="4" t="str">
        <x:v>Method Notes</x:v>
      </x:c>
    </x:row>
    <x:row r="2" ht="18" customHeight="1">
      <x:c r="A2" s="8" t="str">
        <x:v>Definitions and assumptions used for this report</x:v>
      </x:c>
    </x:row>
    <x:row r="4" ht="31.5" customHeight="1">
      <x:c r="A4" s="24" t="str">
        <x:v>Report window</x:v>
      </x:c>
      <x:c r="B4" s="26" t="str">
        <x:v>May 1, 2025 through April 30, 2026.</x:v>
      </x:c>
    </x:row>
    <x:row r="5" ht="31.5" customHeight="1">
      <x:c r="A5" s="24" t="str">
        <x:v>OpenDental source</x:v>
      </x:c>
      <x:c r="B5" s="26" t="str">
        <x:v>Completed procedurelog rows where ProcStatus = 2, joined to procedurecode by CodeNum and grouped by procedurelog.ProcDate.</x:v>
      </x:c>
    </x:row>
    <x:row r="6" ht="31.5" customHeight="1">
      <x:c r="A6" s="24" t="str">
        <x:v>Count method</x:v>
      </x:c>
      <x:c r="B6" s="26" t="str">
        <x:v>Each charged-out procedurelog row counts as one code occurrence.</x:v>
      </x:c>
    </x:row>
    <x:row r="7" ht="31.5" customHeight="1">
      <x:c r="A7" s="24" t="str">
        <x:v>Periodontal total</x:v>
      </x:c>
      <x:c r="B7" s="26" t="str">
        <x:v>D4341 + D4342 + D4910.</x:v>
      </x:c>
    </x:row>
    <x:row r="8" ht="31.5" customHeight="1">
      <x:c r="A8" s="24" t="str">
        <x:v>D0150 split</x:v>
      </x:c>
      <x:c r="B8" s="26" t="str">
        <x:v>D0150 rows are split into over 18 and under 18 based on patient age on the procedure date.</x:v>
      </x:c>
    </x:row>
    <x:row r="9" ht="31.5" customHeight="1">
      <x:c r="A9" s="24" t="str">
        <x:v>Adult prophy</x:v>
      </x:c>
      <x:c r="B9" s="26" t="str">
        <x:v>D1110.</x:v>
      </x:c>
    </x:row>
    <x:row r="10" ht="31.5" customHeight="1">
      <x:c r="A10" s="24" t="str">
        <x:v>Child prophy</x:v>
      </x:c>
      <x:c r="B10" s="26" t="str">
        <x:v>D1120. Verified as the child prophylaxis CDT code.</x:v>
      </x:c>
    </x:row>
    <x:row r="11" ht="31.5" customHeight="1">
      <x:c r="A11" s="24" t="str">
        <x:v>Privacy</x:v>
      </x:c>
      <x:c r="B11" s="26" t="str">
        <x:v>Workbook contains only aggregate monthly counts, not patient-level detail.</x:v>
      </x:c>
    </x:row>
    <x:row r="13" ht="36" customHeight="1">
      <x:c r="A13" s="27" t="str">
        <x:v>SQL summary</x:v>
      </x:c>
      <x:c r="B13" s="25" t="str">
        <x:v>Main code counts used pc.ProcCode IN ('D4341','D4342','D4910','D0150','D1110','D1120') and pl.ProcDate BETWEEN '2025-05-01' AND '2026-04-30'.</x:v>
      </x:c>
    </x:row>
    <x:row r="14" ht="36" customHeight="1">
      <x:c r="A14" s="27" t="str">
        <x:v>D0150 age split</x:v>
      </x:c>
      <x:c r="B14" s="25" t="str">
        <x:v>D0150 over 18 and under 18 counts used TIMESTAMPDIFF(YEAR, pt.Birthdate, pl.ProcDate).</x:v>
      </x:c>
    </x:row>
    <x:row r="15" ht="36" customHeight="1">
      <x:c r="A15" s="27" t="str">
        <x:v>Child prophy source</x:v>
      </x:c>
      <x:c r="B15" s="25" t="str">
        <x:v>https://dentalcoding.com/cdt-code/d1120-prophylaxis-child/</x:v>
      </x:c>
    </x:row>
  </x:sheetData>
  <x:mergeCells>
    <x:mergeCell ref="A1:D1"/>
    <x:mergeCell ref="A2:D2"/>
  </x:mergeCells>
  <x:pageMargins left="0.7" right="0.7" top="0.75" bottom="0.75" header="0.3" footer="0.3"/>
</x:worksheet>
</file>